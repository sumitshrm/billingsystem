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144" windowWidth="11460" windowHeight="5040" tabRatio="810" activeTab="5"/>
  </bookViews>
  <sheets>
    <sheet name="MEASUREMENT" sheetId="1" r:id="rId1"/>
    <sheet name="ABSTRACT" sheetId="4" r:id="rId2"/>
    <sheet name="FNFB_SCHEDULE" sheetId="8" r:id="rId3"/>
    <sheet name="RB_SCHEDULE" sheetId="9" r:id="rId4"/>
    <sheet name="DEVIATION" sheetId="10" r:id="rId5"/>
    <sheet name="TEMPLATE" sheetId="7" r:id="rId6"/>
    <sheet name="ITEMS" sheetId="11" state="hidden" r:id="rId7"/>
    <sheet name="EXTRA_ITEMS" sheetId="12" r:id="rId8"/>
    <sheet name="CONFIG" sheetId="13" state="hidden" r:id="rId9"/>
  </sheets>
  <functionGroups/>
  <definedNames>
    <definedName name="A_AGENCY">ABSTRACT!$C$4</definedName>
    <definedName name="A_AGGREEMENT_NUM">ABSTRACT!$C$5</definedName>
    <definedName name="A_ALL_METADATA_COLUMNS">ABSTRACT!$H:$M</definedName>
    <definedName name="A_AMOUNT">ABSTRACT!$G$14</definedName>
    <definedName name="A_CLAUSE">ABSTRACT!$C$10</definedName>
    <definedName name="A_DESCRIPTION">ABSTRACT!$B$14:$B$14</definedName>
    <definedName name="A_DOA">ABSTRACT!$C$13</definedName>
    <definedName name="A_DOC_A">ABSTRACT!$C$8</definedName>
    <definedName name="A_DOC_S">ABSTRACT!$C$7</definedName>
    <definedName name="A_DOS">ABSTRACT!$C$6</definedName>
    <definedName name="A_ESTIMATED_COST">ABSTRACT!$C$12</definedName>
    <definedName name="A_FULLRATE">ABSTRACT!$E$14</definedName>
    <definedName name="A_ITEM_NUM">ABSTRACT!$A$14</definedName>
    <definedName name="A_METADATA_ITEM_NUM">ABSTRACT!$J:$J</definedName>
    <definedName name="A_METADATA_PAGE_NUM">ABSTRACT!$I:$I</definedName>
    <definedName name="A_METADATA_PART_RATE_UPDATED">ABSTRACT!$L:$L</definedName>
    <definedName name="A_METADATA_SUB_ITEM_NUM">ABSTRACT!$K:$K</definedName>
    <definedName name="A_METADATA_TOTAL">ABSTRACT!$H:$H</definedName>
    <definedName name="A_NAME_OF_WORK">ABSTRACT!$C$3</definedName>
    <definedName name="A_PARTRATE">ABSTRACT!$F$14</definedName>
    <definedName name="A_QUANTITY">ABSTRACT!$C$14</definedName>
    <definedName name="A_SNO_OF_BILL">ABSTRACT!$C$9</definedName>
    <definedName name="A_TENDER_COST">ABSTRACT!$C$11</definedName>
    <definedName name="A_UNIT">ABSTRACT!$D$14</definedName>
    <definedName name="ABSTRACT_ITEM_NUM">ABSTRACT!$J:$J</definedName>
    <definedName name="ABSTRACT_PAGE_NUM">ABSTRACT!$I:$I</definedName>
    <definedName name="ABSTRACT_PART_RATE_UPDATED">ABSTRACT!$L:$L</definedName>
    <definedName name="ABSTRACT_SUB_ITEM_NUM">ABSTRACT!$K:$K</definedName>
    <definedName name="ABSTRACT_TITLES">ABSTRACT!$A$14:$G$14</definedName>
    <definedName name="DEV_AGENCY">DEVIATION!$C$4</definedName>
    <definedName name="DEV_AGGREEMENT_NUM">DEVIATION!$C$5</definedName>
    <definedName name="DEV_CLAUSE">DEVIATION!$C$8</definedName>
    <definedName name="DEV_DESCRIPTION">DEVIATION!$C$12</definedName>
    <definedName name="DEV_DEV_MINUS">DEVIATION!$M$12</definedName>
    <definedName name="DEV_DEV_PERCENT">DEVIATION!$K$12</definedName>
    <definedName name="DEV_DEV_PLUS">DEVIATION!$L$12</definedName>
    <definedName name="DEV_DEV_QTY">DEVIATION!$G$12</definedName>
    <definedName name="DEV_DOC_S">DEVIATION!$C$7</definedName>
    <definedName name="DEV_DOS">DEVIATION!$C$6</definedName>
    <definedName name="DEV_ESTIMATED_COST">DEVIATION!$C$10</definedName>
    <definedName name="DEV_ITEM_NUM">DEVIATION!$B$12</definedName>
    <definedName name="DEV_LESS_CA">DEVIATION!$I$12</definedName>
    <definedName name="DEV_NAME_OF_WORK">DEVIATION!$C$3</definedName>
    <definedName name="DEV_QTY_AP_AGMT">DEVIATION!$E$12</definedName>
    <definedName name="DEV_QTY_EUD">DEVIATION!$F$12</definedName>
    <definedName name="DEV_RATE">DEVIATION!$H$12</definedName>
    <definedName name="DEV_RATE_PROPOSED">DEVIATION!$J$12</definedName>
    <definedName name="DEV_SL_NO">DEVIATION!$A$12</definedName>
    <definedName name="DEV_SNO_OF_BILL">DEVIATION!$B$2</definedName>
    <definedName name="DEV_SUMARY_DEV_MINUS">DEVIATION!$N$5</definedName>
    <definedName name="DEV_SUMARY_DEV_PERCENT">DEVIATION!$N$7</definedName>
    <definedName name="DEV_SUMARY_DEV_PLUS">DEVIATION!$N$4</definedName>
    <definedName name="DEV_SUMARY_TOTAL_DEV">DEVIATION!$N$6</definedName>
    <definedName name="DEV_TENDER_COST">DEVIATION!$C$9</definedName>
    <definedName name="DEV_TOTAL_DEV">DEVIATION!$N$12</definedName>
    <definedName name="DEV_UNIT">DEVIATION!$D$12</definedName>
    <definedName name="EXISTING_ITEMS_IN_DATABASE">CONFIG!$B$6</definedName>
    <definedName name="FNFB_SCHEDULE_AGENCY">FNFB_SCHEDULE!$C$3</definedName>
    <definedName name="FNFB_SCHEDULE_AGGREEMENT_NUM">FNFB_SCHEDULE!$C$4</definedName>
    <definedName name="FNFB_SCHEDULE_CLAUSE">FNFB_SCHEDULE!$C$9</definedName>
    <definedName name="FNFB_SCHEDULE_DESC_OF_ITEMS">FNFB_SCHEDULE!$B$11</definedName>
    <definedName name="FNFB_SCHEDULE_DOA">FNFB_SCHEDULE!$C$10</definedName>
    <definedName name="FNFB_SCHEDULE_DOC_A">FNFB_SCHEDULE!$C$7</definedName>
    <definedName name="FNFB_SCHEDULE_DOC_S">FNFB_SCHEDULE!$C$6</definedName>
    <definedName name="FNFB_SCHEDULE_DOS">FNFB_SCHEDULE!$C$5</definedName>
    <definedName name="FNFB_SCHEDULE_ITEM_NUM">FNFB_SCHEDULE!$A$11</definedName>
    <definedName name="FNFB_SCHEDULE_NAME_OF_WORK">FNFB_SCHEDULE!$C$2</definedName>
    <definedName name="FNFB_SCHEDULE_POTBOAM">FNFB_SCHEDULE!$F$11</definedName>
    <definedName name="FNFB_SCHEDULE_QEUD">FNFB_SCHEDULE!$C$11</definedName>
    <definedName name="FNFB_SCHEDULE_RATE">FNFB_SCHEDULE!$E$11</definedName>
    <definedName name="FNFB_SCHEDULE_SNO_OF_BILL">FNFB_SCHEDULE!$C$8</definedName>
    <definedName name="FNFB_SCHEDULE_TOTAL_AMOUNT">FNFB_SCHEDULE!$F$11</definedName>
    <definedName name="FNFB_SCHEDULE_UNIT">FNFB_SCHEDULE!$D$11</definedName>
    <definedName name="M_AGENCY">MEASUREMENT!$B$3</definedName>
    <definedName name="M_AGGREEMENT_NUM">MEASUREMENT!$B$4</definedName>
    <definedName name="M_ALL_METADATA_COLUMNS">MEASUREMENT!$AC:$AG</definedName>
    <definedName name="M_CLAUSE">MEASUREMENT!$B$9</definedName>
    <definedName name="M_DESC_OF_ITEMS">MEASUREMENT!$A$11</definedName>
    <definedName name="M_DOA">MEASUREMENT!$B$10</definedName>
    <definedName name="M_DOC_A">MEASUREMENT!$B$7</definedName>
    <definedName name="M_DOC_S">MEASUREMENT!$B$6</definedName>
    <definedName name="M_DOS">MEASUREMENT!$B$5</definedName>
    <definedName name="M_ITEM_DESC">MEASUREMENT!$A:$A</definedName>
    <definedName name="M_ITEM_NUM">MEASUREMENT!$AC:$AC</definedName>
    <definedName name="M_ITEM_NUM_METADATA" comment="possible values : 'i' if this row is item or 't' it this is a total row">MEASUREMENT!$AD:$AD</definedName>
    <definedName name="M_NAME_OF_WORK">MEASUREMENT!$B$2</definedName>
    <definedName name="M_SNO_OF_BILL">MEASUREMENT!$B$8</definedName>
    <definedName name="M_TOTAL_QTY">MEASUREMENT!$G:$G</definedName>
    <definedName name="MEASUREMENT_ABSTRACT_REF">MEASUREMENT!$AE:$AE</definedName>
    <definedName name="MEASUREMENT_METADATA">MEASUREMENT!$AC:$AC</definedName>
    <definedName name="MEASUREMENT_PAGE_NUMBER">MEASUREMENT!$AF:$AF</definedName>
    <definedName name="MEASUREMENT_SUB_ITEM">MEASUREMENT!$AD:$AD</definedName>
    <definedName name="MEASUREMENT_TITLES">MEASUREMENT!$A$11:$M$11</definedName>
    <definedName name="RB_SCHEDULE_AGENCY">RB_SCHEDULE!$C$3</definedName>
    <definedName name="RB_SCHEDULE_AGGREEMENT_NUM">RB_SCHEDULE!$C$4</definedName>
    <definedName name="RB_SCHEDULE_CLAUSE">RB_SCHEDULE!$C$9</definedName>
    <definedName name="RB_SCHEDULE_DESC_OF_ITEMS">RB_SCHEDULE!$B$12</definedName>
    <definedName name="RB_SCHEDULE_DOA">RB_SCHEDULE!$C$10</definedName>
    <definedName name="RB_SCHEDULE_DOC_A">RB_SCHEDULE!$C$7</definedName>
    <definedName name="RB_SCHEDULE_DOC_S">RB_SCHEDULE!$C$6</definedName>
    <definedName name="RB_SCHEDULE_DOS">RB_SCHEDULE!$C$5</definedName>
    <definedName name="RB_SCHEDULE_FULL_RATE">RB_SCHEDULE!$E$12</definedName>
    <definedName name="RB_SCHEDULE_ITEM_NUM">RB_SCHEDULE!$A$12</definedName>
    <definedName name="RB_SCHEDULE_NAME_OF_WORK">RB_SCHEDULE!$C$2</definedName>
    <definedName name="RB_SCHEDULE_PART_RATE">RB_SCHEDULE!$F$12</definedName>
    <definedName name="RB_SCHEDULE_POTBOAM">RB_SCHEDULE!$G$11:$I$11</definedName>
    <definedName name="RB_SCHEDULE_QEUD">RB_SCHEDULE!$C$12</definedName>
    <definedName name="RB_SCHEDULE_RATE">RB_SCHEDULE!$E$11:$F$11</definedName>
    <definedName name="RB_SCHEDULE_SNO_OF_BILL">RB_SCHEDULE!$C$8</definedName>
    <definedName name="RB_SCHEDULE_SPB">RB_SCHEDULE!$I$12</definedName>
    <definedName name="RB_SCHEDULE_TOTAL_AMOUNT">RB_SCHEDULE!$I$12</definedName>
    <definedName name="RB_SCHEDULE_UNIT">RB_SCHEDULE!$D$12</definedName>
    <definedName name="RB_SCHEDULE_UPB">RB_SCHEDULE!$H$12</definedName>
    <definedName name="RB_SCHEDULE_UTD">RB_SCHEDULE!$G$12</definedName>
    <definedName name="T_AGGREEMENT_EXTRA_ITEM_NUMBER_LABEL">TEMPLATE!$B$12</definedName>
    <definedName name="T_AGGREEMENT_ID">CONFIG!$B$4</definedName>
    <definedName name="T_AGGREEMENT_ITEM_NUMBER_LABEL">TEMPLATE!$B$11</definedName>
    <definedName name="T_AGGREEMENT_NUMBER">TEMPLATE!$A$3</definedName>
    <definedName name="T_DATE_OF_MEASUREMENT">TEMPLATE!$A$2</definedName>
    <definedName name="T_EXCELGATEWAY_URL">CONFIG!$B$5</definedName>
    <definedName name="T_EXTRA_ITEM_COUNTER">CONFIG!$B$7</definedName>
    <definedName name="T_EXTRA_ITEM_SUFFIX">TEMPLATE!$B$10</definedName>
    <definedName name="T_MEASUREMENT_SHEET_ID">CONFIG!$B$2</definedName>
    <definedName name="T_MEASUREMENT_TITLES">TEMPLATE!$A$1:$R$1</definedName>
    <definedName name="T_METADATA_FORMAT">TEMPLATE!$B$13</definedName>
    <definedName name="T_PAGE_NUMBER">TEMPLATE!$A$6</definedName>
    <definedName name="T_TOTAL">TEMPLATE!$B$6</definedName>
    <definedName name="T_URL">CONFIG!$B$3</definedName>
    <definedName name="TABLE_EXTRA_ITEMS">EXTRA_ITEMS!$A:$I</definedName>
    <definedName name="TABLE_EXTRA_ITEMS_DESC">EXTRA_ITEMS!$B:$B</definedName>
    <definedName name="TABLE_EXTRA_ITEMS_DSR_CODE">EXTRA_ITEMS!$I:$I</definedName>
    <definedName name="TABLE_EXTRA_ITEMS_DSR_RATE">EXTRA_ITEMS!$F:$F</definedName>
    <definedName name="TABLE_EXTRA_ITEMS_FULL_RATE">EXTRA_ITEMS!$G:$G</definedName>
    <definedName name="TABLE_EXTRA_ITEMS_ITEM_NUM">EXTRA_ITEMS!$A:$A</definedName>
    <definedName name="TABLE_EXTRA_ITEMS_PART_RATE">EXTRA_ITEMS!$H:$H</definedName>
    <definedName name="TABLE_EXTRA_ITEMS_QTY">EXTRA_ITEMS!$C:$C</definedName>
    <definedName name="TABLE_EXTRA_ITEMS_QTY_PER_UNIT">EXTRA_ITEMS!$E:$E</definedName>
    <definedName name="TABLE_EXTRA_ITEMS_UNIT">EXTRA_ITEMS!$D:$D</definedName>
    <definedName name="TABLE_ITEMS">ITEMS!$A:$H</definedName>
    <definedName name="TABLE_ITEMS_DESC">ITEMS!$B:$B</definedName>
    <definedName name="TABLE_ITEMS_DSR_CODE">ITEMS!$H:$H</definedName>
    <definedName name="TABLE_ITEMS_FULL_RATE">ITEMS!$F:$F</definedName>
    <definedName name="TABLE_ITEMS_ITEM_NUM">ITEMS!$A:$A</definedName>
    <definedName name="TABLE_ITEMS_PART_RATE">ITEMS!$G:$G</definedName>
    <definedName name="TABLE_ITEMS_QTY">ITEMS!$C:$C</definedName>
    <definedName name="TABLE_ITEMS_QTY_PER_UNIT">ITEMS!$E:$E</definedName>
    <definedName name="TABLE_ITEMS_UNIT">ITEMS!$D:$D</definedName>
  </definedNames>
  <calcPr calcId="125725"/>
</workbook>
</file>

<file path=xl/calcChain.xml><?xml version="1.0" encoding="utf-8"?>
<calcChain xmlns="http://schemas.openxmlformats.org/spreadsheetml/2006/main">
  <c r="R1" i="7"/>
  <c r="Q1"/>
  <c r="P1"/>
  <c r="O1"/>
  <c r="N1"/>
  <c r="M1"/>
  <c r="L1"/>
  <c r="K1"/>
  <c r="J1"/>
  <c r="I1"/>
  <c r="H1"/>
  <c r="G1"/>
  <c r="F1"/>
  <c r="E1"/>
  <c r="D1"/>
  <c r="B1"/>
  <c r="C1"/>
  <c r="N7" i="10"/>
  <c r="N6"/>
  <c r="N5"/>
  <c r="N4"/>
  <c r="A1" i="7"/>
</calcChain>
</file>

<file path=xl/sharedStrings.xml><?xml version="1.0" encoding="utf-8"?>
<sst xmlns="http://schemas.openxmlformats.org/spreadsheetml/2006/main" count="197" uniqueCount="109">
  <si>
    <t>Name Of Work</t>
  </si>
  <si>
    <t>Agency</t>
  </si>
  <si>
    <t>Agreement No</t>
  </si>
  <si>
    <t>Date of start</t>
  </si>
  <si>
    <t>Date of completion (S)</t>
  </si>
  <si>
    <t>Date of completion (A)</t>
  </si>
  <si>
    <t xml:space="preserve">S.No of the Bill </t>
  </si>
  <si>
    <t xml:space="preserve">Clause 12 %age  </t>
  </si>
  <si>
    <t>Description of Items</t>
  </si>
  <si>
    <t>Amount</t>
  </si>
  <si>
    <t>Item No.</t>
  </si>
  <si>
    <t>Quantity</t>
  </si>
  <si>
    <t>Unit</t>
  </si>
  <si>
    <t>&lt;NAME_OF_WORK&gt;</t>
  </si>
  <si>
    <t>&lt;AGENCY&gt;</t>
  </si>
  <si>
    <t>&lt;AGGREEMENT_NO&gt;</t>
  </si>
  <si>
    <t>&lt;DATE_OF_START&gt;</t>
  </si>
  <si>
    <t>&lt;DATE_OF_COMPLETION_S&gt;</t>
  </si>
  <si>
    <t>&lt;DATE_OF_COMPLETION_A&gt;</t>
  </si>
  <si>
    <t>&lt;SNO_OF_BILL&gt;</t>
  </si>
  <si>
    <t>&lt;CLAUSE&gt;</t>
  </si>
  <si>
    <t>&lt;DATE_OF_ABSTRACT&gt;</t>
  </si>
  <si>
    <t>Bill</t>
  </si>
  <si>
    <t>Full Rate</t>
  </si>
  <si>
    <t>Part Rate</t>
  </si>
  <si>
    <t>Total</t>
  </si>
  <si>
    <t>Date of measurement</t>
  </si>
  <si>
    <t>description of item goes here</t>
  </si>
  <si>
    <t>Measurement</t>
  </si>
  <si>
    <t>metadata</t>
  </si>
  <si>
    <t>Full rate</t>
  </si>
  <si>
    <t>Part rate</t>
  </si>
  <si>
    <t>ITEM</t>
  </si>
  <si>
    <t>VALUE</t>
  </si>
  <si>
    <t>T_MEASUREMENT_SHEET_ID</t>
  </si>
  <si>
    <t xml:space="preserve">Aggreement Item Number : </t>
  </si>
  <si>
    <t>ino</t>
  </si>
  <si>
    <t>sino</t>
  </si>
  <si>
    <t>prate</t>
  </si>
  <si>
    <t>extra</t>
  </si>
  <si>
    <t>T_METADATA_FORMAT</t>
  </si>
  <si>
    <t>T_URL</t>
  </si>
  <si>
    <t>Tender cost</t>
  </si>
  <si>
    <t>Estimated cost</t>
  </si>
  <si>
    <t>&lt;TENDER_COST&gt;</t>
  </si>
  <si>
    <t>&lt;ESTIMATED_COST&gt;</t>
  </si>
  <si>
    <t>Bill Schedule</t>
  </si>
  <si>
    <t>Date of completion(S)</t>
  </si>
  <si>
    <t>S.No of the Bill</t>
  </si>
  <si>
    <t>Clause 12 %age</t>
  </si>
  <si>
    <t>Qty Executed upto date</t>
  </si>
  <si>
    <t>Rate</t>
  </si>
  <si>
    <t>Payment on the basis of Actual Measurements</t>
  </si>
  <si>
    <t>Abstract of cost</t>
  </si>
  <si>
    <t>Up to Date</t>
  </si>
  <si>
    <t xml:space="preserve">Upto Previous Bill </t>
  </si>
  <si>
    <t>Since Previous Bill</t>
  </si>
  <si>
    <t>Date of Abstract</t>
  </si>
  <si>
    <t>Date of abstract</t>
  </si>
  <si>
    <t>Name of Work</t>
  </si>
  <si>
    <t>Total Deviation</t>
  </si>
  <si>
    <t>Deviation %</t>
  </si>
  <si>
    <t>Clause 12 % age</t>
  </si>
  <si>
    <t>Estimated Cost</t>
  </si>
  <si>
    <t>Description of Item</t>
  </si>
  <si>
    <t>Rate Calculation</t>
  </si>
  <si>
    <t>Deviation
 (+)</t>
  </si>
  <si>
    <t>Deviation
 (-)</t>
  </si>
  <si>
    <t>As per Agmnt</t>
  </si>
  <si>
    <t>Executed Upto Date</t>
  </si>
  <si>
    <t>Dev Qty</t>
  </si>
  <si>
    <t>Less CA @ 45.95% below</t>
  </si>
  <si>
    <t>Rate Proposed</t>
  </si>
  <si>
    <t xml:space="preserve">&lt;SNO_OF_BILL&gt; </t>
  </si>
  <si>
    <t xml:space="preserve">Date of completion </t>
  </si>
  <si>
    <t>Tender Cost</t>
  </si>
  <si>
    <t>&lt;DATE_OF_COMPLETION&gt;</t>
  </si>
  <si>
    <t>Deviation (+)</t>
  </si>
  <si>
    <t>Deviation (-)</t>
  </si>
  <si>
    <t>Sl. No.</t>
  </si>
  <si>
    <t>Deviation Item Statement</t>
  </si>
  <si>
    <t>ITEM_NUMBER</t>
  </si>
  <si>
    <t>DESCRIPTION</t>
  </si>
  <si>
    <t>QUANTITY</t>
  </si>
  <si>
    <t>UNIT</t>
  </si>
  <si>
    <t>QTY_PER_UNIT</t>
  </si>
  <si>
    <t>FULL_RATE</t>
  </si>
  <si>
    <t>PART_RATE</t>
  </si>
  <si>
    <t>DSR_CODE</t>
  </si>
  <si>
    <t>T_AGGREEMENT_ID</t>
  </si>
  <si>
    <t>T_EXCELGATEWAY_URL</t>
  </si>
  <si>
    <t>EXISTING_ITEMS_IN_DATABASE</t>
  </si>
  <si>
    <t>EXTRA_ITEM_SUFFIX</t>
  </si>
  <si>
    <t>EXTRA_ITEM_COUNTER</t>
  </si>
  <si>
    <t>EI</t>
  </si>
  <si>
    <t>http://localhost:8080/billingsystem/</t>
  </si>
  <si>
    <t>http://localhost:8080/billingsystem/excelgateway</t>
  </si>
  <si>
    <t xml:space="preserve">Date of Abstract.   </t>
  </si>
  <si>
    <t>Number</t>
  </si>
  <si>
    <t>Length</t>
  </si>
  <si>
    <t>Width</t>
  </si>
  <si>
    <t>Height</t>
  </si>
  <si>
    <t>Total quantity</t>
  </si>
  <si>
    <t>DSR_RATE</t>
  </si>
  <si>
    <t>CONFIGURATION</t>
  </si>
  <si>
    <t>T_AGGREEMENT_ITEM_NUMBER_LABEL</t>
  </si>
  <si>
    <t xml:space="preserve">Extra Item Number : </t>
  </si>
  <si>
    <t>T_AGGREEMENT_EXTRA_ITEM_NUMBER_LABEL</t>
  </si>
  <si>
    <t>Qty B/F TMB       P/</t>
  </si>
</sst>
</file>

<file path=xl/styles.xml><?xml version="1.0" encoding="utf-8"?>
<styleSheet xmlns="http://schemas.openxmlformats.org/spreadsheetml/2006/main">
  <numFmts count="5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 * #,##0.00_ ;_ * \-#,##0.00_ ;_ * &quot;-&quot;??_ ;_ @_ "/>
    <numFmt numFmtId="165" formatCode="0.00&quot; % Below&quot;"/>
    <numFmt numFmtId="166" formatCode="0.00&quot; %&quot;"/>
  </numFmts>
  <fonts count="2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0"/>
      <name val="Arial"/>
      <family val="2"/>
    </font>
    <font>
      <b/>
      <sz val="11"/>
      <color indexed="8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sz val="10"/>
      <color theme="1"/>
      <name val="Calibri"/>
      <family val="2"/>
      <scheme val="minor"/>
    </font>
    <font>
      <sz val="12"/>
      <color theme="1"/>
      <name val="Times New Roman"/>
      <family val="2"/>
    </font>
    <font>
      <sz val="22"/>
      <name val="Arial"/>
      <family val="2"/>
    </font>
    <font>
      <b/>
      <sz val="14"/>
      <name val="Arial"/>
      <family val="2"/>
    </font>
    <font>
      <sz val="8"/>
      <name val="Arial"/>
      <family val="2"/>
    </font>
    <font>
      <i/>
      <sz val="11"/>
      <color theme="0" tint="-0.249977111117893"/>
      <name val="Calibri"/>
      <family val="2"/>
      <scheme val="minor"/>
    </font>
    <font>
      <b/>
      <sz val="7"/>
      <color rgb="FF000000"/>
      <name val="Calibri"/>
      <family val="2"/>
      <scheme val="minor"/>
    </font>
    <font>
      <u/>
      <sz val="11"/>
      <color theme="10"/>
      <name val="Calibri"/>
      <family val="2"/>
    </font>
    <font>
      <b/>
      <sz val="8"/>
      <name val="Arial"/>
      <family val="2"/>
    </font>
    <font>
      <b/>
      <sz val="8"/>
      <color theme="1"/>
      <name val="Arial"/>
      <family val="2"/>
    </font>
    <font>
      <b/>
      <sz val="14"/>
      <color theme="1"/>
      <name val="Arial"/>
      <family val="2"/>
    </font>
    <font>
      <b/>
      <sz val="11"/>
      <name val="Arial"/>
      <family val="2"/>
    </font>
    <font>
      <b/>
      <sz val="11"/>
      <name val="Times New Roman"/>
      <family val="1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i/>
      <sz val="8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/>
      <right/>
      <top/>
      <bottom style="thick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2">
    <xf numFmtId="0" fontId="0" fillId="0" borderId="0"/>
    <xf numFmtId="44" fontId="5" fillId="2" borderId="0" applyNumberFormat="0" applyFont="0" applyFill="0" applyAlignment="0">
      <alignment horizontal="center" vertical="center"/>
    </xf>
    <xf numFmtId="43" fontId="3" fillId="0" borderId="0" applyFont="0" applyFill="0" applyBorder="0" applyAlignment="0" applyProtection="0"/>
    <xf numFmtId="0" fontId="5" fillId="0" borderId="1" applyNumberFormat="0" applyFont="0" applyBorder="0" applyAlignment="0" applyProtection="0">
      <alignment horizontal="center" vertical="center"/>
    </xf>
    <xf numFmtId="2" fontId="5" fillId="0" borderId="0" applyNumberFormat="0" applyFont="0" applyAlignment="0">
      <alignment horizontal="center" vertical="center"/>
    </xf>
    <xf numFmtId="0" fontId="6" fillId="0" borderId="0"/>
    <xf numFmtId="0" fontId="3" fillId="0" borderId="0"/>
    <xf numFmtId="0" fontId="3" fillId="0" borderId="0"/>
    <xf numFmtId="0" fontId="3" fillId="0" borderId="0"/>
    <xf numFmtId="0" fontId="6" fillId="0" borderId="0"/>
    <xf numFmtId="0" fontId="6" fillId="0" borderId="0"/>
    <xf numFmtId="0" fontId="7" fillId="0" borderId="0">
      <alignment horizontal="justify" vertical="top" wrapText="1"/>
    </xf>
    <xf numFmtId="0" fontId="7" fillId="0" borderId="0">
      <alignment horizontal="justify" vertical="top" wrapText="1"/>
    </xf>
    <xf numFmtId="0" fontId="6" fillId="0" borderId="0"/>
    <xf numFmtId="164" fontId="1" fillId="0" borderId="0" applyFont="0" applyFill="0" applyBorder="0" applyAlignment="0" applyProtection="0"/>
    <xf numFmtId="44" fontId="8" fillId="0" borderId="0" applyFont="0" applyFill="0" applyBorder="0" applyAlignment="0" applyProtection="0"/>
    <xf numFmtId="0" fontId="1" fillId="0" borderId="0"/>
    <xf numFmtId="0" fontId="1" fillId="0" borderId="0"/>
    <xf numFmtId="0" fontId="8" fillId="0" borderId="0"/>
    <xf numFmtId="0" fontId="6" fillId="0" borderId="0"/>
    <xf numFmtId="0" fontId="6" fillId="0" borderId="0"/>
    <xf numFmtId="43" fontId="9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3" fillId="0" borderId="0" applyFont="0" applyFill="0" applyBorder="0" applyAlignment="0" applyProtection="0"/>
    <xf numFmtId="0" fontId="9" fillId="0" borderId="0"/>
    <xf numFmtId="0" fontId="6" fillId="0" borderId="0"/>
    <xf numFmtId="164" fontId="9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5" fillId="0" borderId="0" applyNumberFormat="0" applyFill="0" applyBorder="0" applyAlignment="0" applyProtection="0">
      <alignment vertical="top"/>
      <protection locked="0"/>
    </xf>
    <xf numFmtId="0" fontId="6" fillId="0" borderId="0">
      <alignment horizontal="justify" vertical="top" wrapText="1"/>
    </xf>
    <xf numFmtId="0" fontId="1" fillId="0" borderId="0" applyFill="0"/>
    <xf numFmtId="0" fontId="1" fillId="0" borderId="0" applyNumberFormat="0" applyFont="0" applyFill="0" applyBorder="0" applyAlignment="0" applyProtection="0"/>
  </cellStyleXfs>
  <cellXfs count="115">
    <xf numFmtId="0" fontId="0" fillId="0" borderId="0" xfId="0"/>
    <xf numFmtId="0" fontId="0" fillId="0" borderId="0" xfId="0" applyBorder="1"/>
    <xf numFmtId="0" fontId="0" fillId="0" borderId="0" xfId="0"/>
    <xf numFmtId="0" fontId="2" fillId="0" borderId="0" xfId="0" applyFont="1" applyBorder="1"/>
    <xf numFmtId="0" fontId="4" fillId="3" borderId="0" xfId="0" applyFont="1" applyFill="1" applyBorder="1" applyAlignment="1" applyProtection="1">
      <alignment vertical="center" wrapText="1"/>
      <protection hidden="1"/>
    </xf>
    <xf numFmtId="0" fontId="4" fillId="0" borderId="0" xfId="0" applyFont="1" applyFill="1" applyBorder="1" applyAlignment="1" applyProtection="1">
      <alignment horizontal="left" vertical="center" wrapText="1"/>
      <protection hidden="1"/>
    </xf>
    <xf numFmtId="0" fontId="2" fillId="0" borderId="0" xfId="0" applyFont="1" applyBorder="1" applyProtection="1">
      <protection hidden="1"/>
    </xf>
    <xf numFmtId="0" fontId="0" fillId="0" borderId="5" xfId="0" applyBorder="1"/>
    <xf numFmtId="0" fontId="13" fillId="4" borderId="0" xfId="0" applyFont="1" applyFill="1" applyAlignment="1">
      <alignment horizontal="center"/>
    </xf>
    <xf numFmtId="0" fontId="13" fillId="4" borderId="0" xfId="0" applyFont="1" applyFill="1" applyAlignment="1">
      <alignment horizontal="left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4" fillId="0" borderId="4" xfId="0" applyFont="1" applyFill="1" applyBorder="1" applyAlignment="1">
      <alignment horizontal="left" vertical="top"/>
    </xf>
    <xf numFmtId="0" fontId="10" fillId="0" borderId="4" xfId="0" applyFont="1" applyFill="1" applyBorder="1" applyAlignment="1">
      <alignment horizontal="centerContinuous" vertical="top" wrapText="1"/>
    </xf>
    <xf numFmtId="0" fontId="10" fillId="0" borderId="2" xfId="0" applyFont="1" applyFill="1" applyBorder="1" applyAlignment="1">
      <alignment horizontal="centerContinuous" vertical="top" wrapText="1"/>
    </xf>
    <xf numFmtId="0" fontId="10" fillId="0" borderId="3" xfId="0" applyFont="1" applyFill="1" applyBorder="1" applyAlignment="1">
      <alignment horizontal="centerContinuous" vertical="top" wrapText="1"/>
    </xf>
    <xf numFmtId="0" fontId="11" fillId="0" borderId="4" xfId="0" applyFont="1" applyFill="1" applyBorder="1" applyAlignment="1">
      <alignment horizontal="centerContinuous" vertical="top" wrapText="1"/>
    </xf>
    <xf numFmtId="0" fontId="11" fillId="0" borderId="2" xfId="0" applyFont="1" applyFill="1" applyBorder="1" applyAlignment="1">
      <alignment horizontal="centerContinuous" vertical="top" wrapText="1"/>
    </xf>
    <xf numFmtId="0" fontId="11" fillId="0" borderId="3" xfId="0" applyFont="1" applyFill="1" applyBorder="1" applyAlignment="1">
      <alignment horizontal="centerContinuous" vertical="top" wrapText="1"/>
    </xf>
    <xf numFmtId="0" fontId="4" fillId="0" borderId="2" xfId="0" applyFont="1" applyFill="1" applyBorder="1" applyAlignment="1">
      <alignment vertical="top" wrapText="1"/>
    </xf>
    <xf numFmtId="0" fontId="4" fillId="0" borderId="2" xfId="0" applyFont="1" applyFill="1" applyBorder="1" applyAlignment="1">
      <alignment horizontal="centerContinuous" vertical="center" wrapText="1"/>
    </xf>
    <xf numFmtId="165" fontId="16" fillId="0" borderId="4" xfId="0" applyNumberFormat="1" applyFont="1" applyFill="1" applyBorder="1" applyAlignment="1" applyProtection="1">
      <alignment horizontal="centerContinuous" vertical="center" wrapText="1"/>
    </xf>
    <xf numFmtId="0" fontId="0" fillId="0" borderId="3" xfId="0" applyBorder="1" applyAlignment="1">
      <alignment horizontal="centerContinuous"/>
    </xf>
    <xf numFmtId="2" fontId="16" fillId="0" borderId="8" xfId="0" applyNumberFormat="1" applyFont="1" applyFill="1" applyBorder="1" applyAlignment="1" applyProtection="1">
      <alignment horizontal="center" vertical="center" wrapText="1"/>
      <protection locked="0"/>
    </xf>
    <xf numFmtId="0" fontId="18" fillId="0" borderId="5" xfId="0" applyFont="1" applyBorder="1" applyAlignment="1">
      <alignment horizontal="centerContinuous"/>
    </xf>
    <xf numFmtId="0" fontId="18" fillId="0" borderId="7" xfId="0" applyFont="1" applyBorder="1" applyAlignment="1">
      <alignment horizontal="centerContinuous"/>
    </xf>
    <xf numFmtId="0" fontId="19" fillId="0" borderId="0" xfId="0" applyFont="1" applyBorder="1" applyAlignment="1">
      <alignment horizontal="centerContinuous" vertical="center"/>
    </xf>
    <xf numFmtId="0" fontId="19" fillId="0" borderId="10" xfId="0" applyFont="1" applyBorder="1" applyAlignment="1">
      <alignment horizontal="centerContinuous" vertical="center"/>
    </xf>
    <xf numFmtId="0" fontId="6" fillId="0" borderId="0" xfId="0" applyFont="1" applyFill="1" applyBorder="1" applyAlignment="1">
      <alignment vertical="center"/>
    </xf>
    <xf numFmtId="0" fontId="6" fillId="0" borderId="0" xfId="0" applyFont="1" applyBorder="1" applyAlignment="1">
      <alignment vertical="center"/>
    </xf>
    <xf numFmtId="0" fontId="20" fillId="0" borderId="0" xfId="0" applyFont="1" applyBorder="1" applyAlignment="1"/>
    <xf numFmtId="0" fontId="6" fillId="0" borderId="0" xfId="0" applyFont="1" applyBorder="1"/>
    <xf numFmtId="0" fontId="6" fillId="0" borderId="10" xfId="0" applyFont="1" applyBorder="1"/>
    <xf numFmtId="2" fontId="4" fillId="0" borderId="2" xfId="0" applyNumberFormat="1" applyFont="1" applyFill="1" applyBorder="1" applyAlignment="1">
      <alignment horizontal="left" vertical="top"/>
    </xf>
    <xf numFmtId="2" fontId="4" fillId="0" borderId="3" xfId="0" applyNumberFormat="1" applyFont="1" applyFill="1" applyBorder="1" applyAlignment="1">
      <alignment horizontal="left" vertical="top"/>
    </xf>
    <xf numFmtId="0" fontId="0" fillId="0" borderId="7" xfId="0" applyBorder="1"/>
    <xf numFmtId="0" fontId="0" fillId="0" borderId="10" xfId="0" applyBorder="1"/>
    <xf numFmtId="2" fontId="20" fillId="0" borderId="6" xfId="0" applyNumberFormat="1" applyFont="1" applyBorder="1" applyAlignment="1"/>
    <xf numFmtId="2" fontId="20" fillId="0" borderId="9" xfId="0" applyNumberFormat="1" applyFont="1" applyBorder="1" applyAlignment="1"/>
    <xf numFmtId="0" fontId="4" fillId="0" borderId="4" xfId="0" applyFont="1" applyFill="1" applyBorder="1" applyAlignment="1">
      <alignment vertical="center"/>
    </xf>
    <xf numFmtId="2" fontId="20" fillId="0" borderId="7" xfId="0" applyNumberFormat="1" applyFont="1" applyBorder="1" applyAlignment="1"/>
    <xf numFmtId="2" fontId="20" fillId="0" borderId="10" xfId="0" applyNumberFormat="1" applyFont="1" applyFill="1" applyBorder="1" applyAlignment="1"/>
    <xf numFmtId="166" fontId="20" fillId="0" borderId="3" xfId="0" applyNumberFormat="1" applyFont="1" applyBorder="1" applyAlignment="1"/>
    <xf numFmtId="0" fontId="4" fillId="0" borderId="9" xfId="0" applyFont="1" applyFill="1" applyBorder="1" applyAlignment="1">
      <alignment vertical="center"/>
    </xf>
    <xf numFmtId="2" fontId="20" fillId="0" borderId="10" xfId="0" applyNumberFormat="1" applyFont="1" applyBorder="1" applyAlignment="1"/>
    <xf numFmtId="0" fontId="0" fillId="0" borderId="3" xfId="0" applyBorder="1"/>
    <xf numFmtId="0" fontId="4" fillId="0" borderId="0" xfId="0" applyFont="1" applyFill="1" applyBorder="1" applyAlignment="1">
      <alignment horizontal="left" vertical="top"/>
    </xf>
    <xf numFmtId="2" fontId="4" fillId="0" borderId="0" xfId="0" applyNumberFormat="1" applyFont="1" applyFill="1" applyBorder="1" applyAlignment="1">
      <alignment horizontal="left" vertical="top"/>
    </xf>
    <xf numFmtId="0" fontId="18" fillId="0" borderId="0" xfId="0" applyFont="1" applyBorder="1" applyAlignment="1">
      <alignment horizontal="centerContinuous"/>
    </xf>
    <xf numFmtId="0" fontId="2" fillId="0" borderId="0" xfId="0" applyFont="1" applyBorder="1" applyAlignment="1">
      <alignment vertical="top"/>
    </xf>
    <xf numFmtId="0" fontId="4" fillId="0" borderId="0" xfId="0" applyFont="1" applyBorder="1" applyAlignment="1">
      <alignment vertical="top"/>
    </xf>
    <xf numFmtId="0" fontId="4" fillId="0" borderId="0" xfId="0" applyFont="1" applyFill="1" applyBorder="1" applyAlignment="1">
      <alignment vertical="top"/>
    </xf>
    <xf numFmtId="0" fontId="0" fillId="0" borderId="2" xfId="0" applyBorder="1"/>
    <xf numFmtId="0" fontId="4" fillId="0" borderId="2" xfId="0" applyFont="1" applyFill="1" applyBorder="1" applyAlignment="1">
      <alignment horizontal="left" vertical="center" wrapText="1"/>
    </xf>
    <xf numFmtId="0" fontId="4" fillId="0" borderId="3" xfId="0" applyFont="1" applyFill="1" applyBorder="1" applyAlignment="1">
      <alignment horizontal="left" vertical="center" wrapText="1"/>
    </xf>
    <xf numFmtId="0" fontId="4" fillId="0" borderId="4" xfId="0" applyFont="1" applyFill="1" applyBorder="1" applyAlignment="1">
      <alignment horizontal="left" vertical="center" wrapText="1"/>
    </xf>
    <xf numFmtId="0" fontId="0" fillId="0" borderId="4" xfId="0" applyBorder="1"/>
    <xf numFmtId="0" fontId="16" fillId="0" borderId="2" xfId="0" applyFont="1" applyFill="1" applyBorder="1" applyAlignment="1">
      <alignment horizontal="centerContinuous" vertical="center" wrapText="1"/>
    </xf>
    <xf numFmtId="0" fontId="21" fillId="5" borderId="11" xfId="0" applyFont="1" applyFill="1" applyBorder="1"/>
    <xf numFmtId="0" fontId="21" fillId="5" borderId="12" xfId="0" applyFont="1" applyFill="1" applyBorder="1"/>
    <xf numFmtId="0" fontId="21" fillId="5" borderId="11" xfId="0" applyFont="1" applyFill="1" applyBorder="1" applyAlignment="1">
      <alignment horizontal="justify" vertical="justify" wrapText="1"/>
    </xf>
    <xf numFmtId="0" fontId="0" fillId="0" borderId="0" xfId="0" applyAlignment="1">
      <alignment horizontal="justify" vertical="justify" wrapText="1"/>
    </xf>
    <xf numFmtId="0" fontId="15" fillId="6" borderId="13" xfId="28" applyFill="1" applyBorder="1" applyAlignment="1" applyProtection="1"/>
    <xf numFmtId="0" fontId="2" fillId="0" borderId="0" xfId="0" applyNumberFormat="1" applyFont="1" applyBorder="1"/>
    <xf numFmtId="0" fontId="0" fillId="0" borderId="0" xfId="0" applyNumberFormat="1"/>
    <xf numFmtId="0" fontId="4" fillId="0" borderId="9" xfId="0" applyFont="1" applyFill="1" applyBorder="1" applyAlignment="1">
      <alignment vertical="center" wrapText="1"/>
    </xf>
    <xf numFmtId="0" fontId="4" fillId="0" borderId="6" xfId="0" applyFont="1" applyFill="1" applyBorder="1" applyAlignment="1" applyProtection="1">
      <alignment horizontal="left" vertical="center" wrapText="1"/>
      <protection hidden="1"/>
    </xf>
    <xf numFmtId="0" fontId="4" fillId="0" borderId="4" xfId="0" applyFont="1" applyFill="1" applyBorder="1" applyAlignment="1"/>
    <xf numFmtId="0" fontId="4" fillId="0" borderId="14" xfId="0" applyFont="1" applyFill="1" applyBorder="1" applyAlignment="1">
      <alignment vertical="center" wrapText="1"/>
    </xf>
    <xf numFmtId="0" fontId="4" fillId="0" borderId="4" xfId="0" applyFont="1" applyFill="1" applyBorder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0" fontId="21" fillId="5" borderId="11" xfId="0" applyFont="1" applyFill="1" applyBorder="1" applyAlignment="1">
      <alignment horizontal="left" vertical="center"/>
    </xf>
    <xf numFmtId="0" fontId="21" fillId="5" borderId="11" xfId="0" applyFont="1" applyFill="1" applyBorder="1" applyAlignment="1">
      <alignment horizontal="left" vertical="center" wrapText="1"/>
    </xf>
    <xf numFmtId="0" fontId="21" fillId="5" borderId="12" xfId="0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2" fontId="16" fillId="0" borderId="17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2" xfId="0" applyFill="1" applyBorder="1"/>
    <xf numFmtId="0" fontId="23" fillId="0" borderId="0" xfId="0" applyFont="1" applyBorder="1"/>
    <xf numFmtId="0" fontId="0" fillId="7" borderId="17" xfId="0" applyFill="1" applyBorder="1"/>
    <xf numFmtId="0" fontId="0" fillId="8" borderId="0" xfId="0" applyFill="1"/>
    <xf numFmtId="0" fontId="2" fillId="0" borderId="0" xfId="0" applyFont="1"/>
    <xf numFmtId="0" fontId="4" fillId="0" borderId="2" xfId="0" applyFont="1" applyFill="1" applyBorder="1" applyAlignment="1">
      <alignment horizontal="left" vertical="center" wrapText="1"/>
    </xf>
    <xf numFmtId="0" fontId="4" fillId="0" borderId="3" xfId="0" applyFont="1" applyFill="1" applyBorder="1" applyAlignment="1">
      <alignment horizontal="left" vertical="center" wrapText="1"/>
    </xf>
    <xf numFmtId="0" fontId="10" fillId="0" borderId="14" xfId="0" applyFont="1" applyFill="1" applyBorder="1" applyAlignment="1">
      <alignment horizontal="center"/>
    </xf>
    <xf numFmtId="0" fontId="10" fillId="0" borderId="15" xfId="0" applyFont="1" applyFill="1" applyBorder="1" applyAlignment="1">
      <alignment horizontal="center"/>
    </xf>
    <xf numFmtId="0" fontId="10" fillId="0" borderId="3" xfId="0" applyFont="1" applyFill="1" applyBorder="1" applyAlignment="1">
      <alignment horizontal="center"/>
    </xf>
    <xf numFmtId="0" fontId="4" fillId="0" borderId="0" xfId="0" applyFont="1" applyFill="1" applyBorder="1" applyAlignment="1">
      <alignment horizontal="left" vertical="center" wrapText="1"/>
    </xf>
    <xf numFmtId="0" fontId="4" fillId="0" borderId="10" xfId="0" applyFont="1" applyFill="1" applyBorder="1" applyAlignment="1">
      <alignment horizontal="left" vertical="center" wrapText="1"/>
    </xf>
    <xf numFmtId="0" fontId="4" fillId="0" borderId="15" xfId="0" applyFont="1" applyFill="1" applyBorder="1" applyAlignment="1">
      <alignment horizontal="left" vertical="center" wrapText="1"/>
    </xf>
    <xf numFmtId="0" fontId="4" fillId="0" borderId="16" xfId="0" applyFont="1" applyFill="1" applyBorder="1" applyAlignment="1">
      <alignment horizontal="left" vertical="center" wrapText="1"/>
    </xf>
    <xf numFmtId="0" fontId="4" fillId="0" borderId="2" xfId="0" applyFont="1" applyFill="1" applyBorder="1" applyAlignment="1">
      <alignment horizontal="left" vertical="top"/>
    </xf>
    <xf numFmtId="0" fontId="4" fillId="0" borderId="3" xfId="0" applyFont="1" applyFill="1" applyBorder="1" applyAlignment="1">
      <alignment horizontal="left" vertical="top"/>
    </xf>
    <xf numFmtId="2" fontId="4" fillId="0" borderId="2" xfId="0" applyNumberFormat="1" applyFont="1" applyFill="1" applyBorder="1" applyAlignment="1">
      <alignment horizontal="left" vertical="top"/>
    </xf>
    <xf numFmtId="2" fontId="4" fillId="0" borderId="3" xfId="0" applyNumberFormat="1" applyFont="1" applyFill="1" applyBorder="1" applyAlignment="1">
      <alignment horizontal="left" vertical="top"/>
    </xf>
    <xf numFmtId="0" fontId="4" fillId="0" borderId="4" xfId="0" applyFont="1" applyFill="1" applyBorder="1" applyAlignment="1" applyProtection="1">
      <alignment horizontal="left" vertical="top" wrapText="1"/>
    </xf>
    <xf numFmtId="0" fontId="4" fillId="0" borderId="2" xfId="0" applyFont="1" applyFill="1" applyBorder="1" applyAlignment="1" applyProtection="1">
      <alignment horizontal="left" vertical="top" wrapText="1"/>
    </xf>
    <xf numFmtId="0" fontId="4" fillId="0" borderId="4" xfId="0" applyFont="1" applyFill="1" applyBorder="1" applyAlignment="1">
      <alignment horizontal="left" vertical="center" wrapText="1"/>
    </xf>
    <xf numFmtId="0" fontId="4" fillId="0" borderId="4" xfId="0" applyFont="1" applyFill="1" applyBorder="1" applyAlignment="1" applyProtection="1">
      <alignment horizontal="left" vertical="center" wrapText="1"/>
    </xf>
    <xf numFmtId="0" fontId="4" fillId="0" borderId="3" xfId="0" applyFont="1" applyFill="1" applyBorder="1" applyAlignment="1" applyProtection="1">
      <alignment horizontal="left" vertical="center" wrapText="1"/>
    </xf>
    <xf numFmtId="0" fontId="4" fillId="0" borderId="6" xfId="0" applyFont="1" applyFill="1" applyBorder="1" applyAlignment="1" applyProtection="1">
      <alignment horizontal="left" vertical="center" wrapText="1"/>
    </xf>
    <xf numFmtId="0" fontId="4" fillId="0" borderId="7" xfId="0" applyFont="1" applyFill="1" applyBorder="1" applyAlignment="1" applyProtection="1">
      <alignment horizontal="left" vertical="center" wrapText="1"/>
    </xf>
    <xf numFmtId="0" fontId="4" fillId="0" borderId="6" xfId="0" applyFont="1" applyFill="1" applyBorder="1" applyAlignment="1">
      <alignment horizontal="left" vertical="center" wrapText="1"/>
    </xf>
    <xf numFmtId="0" fontId="4" fillId="0" borderId="5" xfId="0" applyFont="1" applyFill="1" applyBorder="1" applyAlignment="1">
      <alignment horizontal="left" vertical="center" wrapText="1"/>
    </xf>
    <xf numFmtId="0" fontId="4" fillId="0" borderId="7" xfId="0" applyFont="1" applyFill="1" applyBorder="1" applyAlignment="1">
      <alignment horizontal="left" vertical="center" wrapText="1"/>
    </xf>
    <xf numFmtId="0" fontId="4" fillId="0" borderId="0" xfId="0" applyFont="1" applyFill="1" applyBorder="1" applyAlignment="1">
      <alignment horizontal="justify" vertical="top"/>
    </xf>
    <xf numFmtId="0" fontId="4" fillId="0" borderId="10" xfId="0" applyFont="1" applyFill="1" applyBorder="1" applyAlignment="1">
      <alignment horizontal="justify" vertical="top"/>
    </xf>
    <xf numFmtId="0" fontId="17" fillId="0" borderId="4" xfId="0" applyFont="1" applyBorder="1" applyAlignment="1">
      <alignment horizontal="center" vertical="center"/>
    </xf>
    <xf numFmtId="0" fontId="17" fillId="0" borderId="2" xfId="0" applyFont="1" applyBorder="1" applyAlignment="1">
      <alignment horizontal="center" vertical="center"/>
    </xf>
    <xf numFmtId="0" fontId="17" fillId="0" borderId="3" xfId="0" applyFont="1" applyBorder="1" applyAlignment="1">
      <alignment horizontal="center" vertical="center"/>
    </xf>
    <xf numFmtId="0" fontId="16" fillId="0" borderId="4" xfId="0" applyFont="1" applyBorder="1" applyAlignment="1">
      <alignment horizontal="center" vertical="center" wrapText="1"/>
    </xf>
    <xf numFmtId="0" fontId="16" fillId="0" borderId="2" xfId="0" applyFont="1" applyBorder="1" applyAlignment="1">
      <alignment horizontal="center" vertical="center" wrapText="1"/>
    </xf>
    <xf numFmtId="0" fontId="16" fillId="0" borderId="3" xfId="0" applyFont="1" applyBorder="1" applyAlignment="1">
      <alignment horizontal="center" vertical="center" wrapText="1"/>
    </xf>
    <xf numFmtId="0" fontId="0" fillId="0" borderId="0" xfId="0" applyBorder="1" applyAlignment="1">
      <alignment horizontal="center"/>
    </xf>
    <xf numFmtId="0" fontId="12" fillId="0" borderId="0" xfId="0" applyFont="1" applyFill="1" applyBorder="1" applyAlignment="1" applyProtection="1">
      <alignment horizontal="left" vertical="center" wrapText="1"/>
      <protection hidden="1"/>
    </xf>
  </cellXfs>
  <cellStyles count="32">
    <cellStyle name="BoQ" xfId="1"/>
    <cellStyle name="Comma 2" xfId="2"/>
    <cellStyle name="Comma 2 2" xfId="14"/>
    <cellStyle name="Comma 3" xfId="15"/>
    <cellStyle name="Comma 3 2" xfId="21"/>
    <cellStyle name="Comma 3 2 2" xfId="22"/>
    <cellStyle name="Comma 3 3" xfId="26"/>
    <cellStyle name="Comma 4" xfId="23"/>
    <cellStyle name="Comma 5" xfId="27"/>
    <cellStyle name="Description" xfId="3"/>
    <cellStyle name="Hyperlink" xfId="28" builtinId="8"/>
    <cellStyle name="Item No" xfId="4"/>
    <cellStyle name="Normal" xfId="0" builtinId="0"/>
    <cellStyle name="Normal 2" xfId="5"/>
    <cellStyle name="Normal 2 2" xfId="6"/>
    <cellStyle name="Normal 2 2 2" xfId="24"/>
    <cellStyle name="Normal 2 3" xfId="7"/>
    <cellStyle name="Normal 2_1st RA Bill (SPG) sudhir" xfId="8"/>
    <cellStyle name="Normal 3" xfId="9"/>
    <cellStyle name="Normal 3 2" xfId="16"/>
    <cellStyle name="Normal 3 2 2" xfId="25"/>
    <cellStyle name="Normal 4" xfId="10"/>
    <cellStyle name="Normal 4 2" xfId="17"/>
    <cellStyle name="Normal 5" xfId="18"/>
    <cellStyle name="Normal 5 2" xfId="19"/>
    <cellStyle name="Normal 6" xfId="13"/>
    <cellStyle name="Normal 6 2" xfId="20"/>
    <cellStyle name="Normal 7 2" xfId="29"/>
    <cellStyle name="Style 1" xfId="11"/>
    <cellStyle name="Style 1 2" xfId="12"/>
    <cellStyle name="Style 2" xfId="30"/>
    <cellStyle name="Style 3" xfId="31"/>
  </cellStyles>
  <dxfs count="1">
    <dxf>
      <font>
        <b val="0"/>
        <i val="0"/>
        <color theme="0" tint="-0.14996795556505021"/>
      </font>
      <fill>
        <patternFill patternType="none">
          <bgColor auto="1"/>
        </patternFill>
      </fill>
    </dxf>
  </dxfs>
  <tableStyles count="0" defaultTableStyle="TableStyleMedium9" defaultPivotStyle="PivotStyleLight16"/>
  <colors>
    <mruColors>
      <color rgb="FFEAEAEA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ables/table1.xml><?xml version="1.0" encoding="utf-8"?>
<table xmlns="http://schemas.openxmlformats.org/spreadsheetml/2006/main" id="1" name="CONFIGURATION2" displayName="CONFIGURATION2" ref="A1:B7" totalsRowShown="0">
  <autoFilter ref="A1:B7"/>
  <tableColumns count="2">
    <tableColumn id="1" name="ITEM"/>
    <tableColumn id="2" name="VALUE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http://localhost:8080/billingsystem/excelgateway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G11"/>
  <sheetViews>
    <sheetView workbookViewId="0">
      <pane ySplit="1" topLeftCell="A2" activePane="bottomLeft" state="frozen"/>
      <selection pane="bottomLeft" activeCell="A17" sqref="A17"/>
    </sheetView>
  </sheetViews>
  <sheetFormatPr defaultRowHeight="14.4"/>
  <cols>
    <col min="1" max="1" width="49.5546875" style="2" customWidth="1" collapsed="1"/>
    <col min="2" max="2" width="10.88671875" style="70" customWidth="1" collapsed="1"/>
    <col min="3" max="3" width="8.77734375" style="70" customWidth="1" collapsed="1"/>
    <col min="4" max="4" width="8.44140625" style="70" customWidth="1" collapsed="1"/>
    <col min="5" max="6" width="8.44140625" style="70" customWidth="1"/>
    <col min="7" max="7" width="15.5546875" style="71" customWidth="1" collapsed="1"/>
    <col min="8" max="10" width="10" style="2" customWidth="1"/>
    <col min="11" max="11" width="9.33203125" style="2" customWidth="1"/>
    <col min="12" max="28" width="8.88671875" style="2"/>
    <col min="29" max="32" width="0" style="2" hidden="1" customWidth="1"/>
    <col min="33" max="16384" width="8.88671875" style="2"/>
  </cols>
  <sheetData>
    <row r="1" spans="1:7" ht="27.6">
      <c r="A1" s="84" t="s">
        <v>28</v>
      </c>
      <c r="B1" s="85"/>
      <c r="C1" s="85"/>
      <c r="D1" s="85"/>
      <c r="E1" s="85"/>
      <c r="F1" s="85"/>
      <c r="G1" s="86"/>
    </row>
    <row r="2" spans="1:7" ht="14.4" customHeight="1">
      <c r="A2" s="65" t="s">
        <v>0</v>
      </c>
      <c r="B2" s="87" t="s">
        <v>13</v>
      </c>
      <c r="C2" s="87"/>
      <c r="D2" s="87"/>
      <c r="E2" s="87"/>
      <c r="F2" s="87"/>
      <c r="G2" s="88"/>
    </row>
    <row r="3" spans="1:7" ht="14.4" customHeight="1">
      <c r="A3" s="65" t="s">
        <v>1</v>
      </c>
      <c r="B3" s="89" t="s">
        <v>14</v>
      </c>
      <c r="C3" s="89"/>
      <c r="D3" s="89"/>
      <c r="E3" s="89"/>
      <c r="F3" s="89"/>
      <c r="G3" s="90"/>
    </row>
    <row r="4" spans="1:7" ht="14.4" customHeight="1">
      <c r="A4" s="66" t="s">
        <v>2</v>
      </c>
      <c r="B4" s="89" t="s">
        <v>15</v>
      </c>
      <c r="C4" s="89"/>
      <c r="D4" s="89"/>
      <c r="E4" s="89"/>
      <c r="F4" s="89"/>
      <c r="G4" s="90"/>
    </row>
    <row r="5" spans="1:7" ht="14.4" customHeight="1">
      <c r="A5" s="67" t="s">
        <v>3</v>
      </c>
      <c r="B5" s="82" t="s">
        <v>16</v>
      </c>
      <c r="C5" s="82"/>
      <c r="D5" s="82"/>
      <c r="E5" s="82"/>
      <c r="F5" s="82"/>
      <c r="G5" s="83"/>
    </row>
    <row r="6" spans="1:7" ht="14.4" customHeight="1">
      <c r="A6" s="68" t="s">
        <v>4</v>
      </c>
      <c r="B6" s="89" t="s">
        <v>17</v>
      </c>
      <c r="C6" s="89"/>
      <c r="D6" s="89"/>
      <c r="E6" s="89"/>
      <c r="F6" s="89"/>
      <c r="G6" s="90"/>
    </row>
    <row r="7" spans="1:7" ht="14.4" customHeight="1">
      <c r="A7" s="69" t="s">
        <v>5</v>
      </c>
      <c r="B7" s="82" t="s">
        <v>18</v>
      </c>
      <c r="C7" s="82"/>
      <c r="D7" s="82"/>
      <c r="E7" s="82"/>
      <c r="F7" s="82"/>
      <c r="G7" s="83"/>
    </row>
    <row r="8" spans="1:7" ht="13.8" customHeight="1">
      <c r="A8" s="69" t="s">
        <v>6</v>
      </c>
      <c r="B8" s="82" t="s">
        <v>19</v>
      </c>
      <c r="C8" s="82"/>
      <c r="D8" s="82"/>
      <c r="E8" s="82"/>
      <c r="F8" s="82"/>
      <c r="G8" s="83"/>
    </row>
    <row r="9" spans="1:7" ht="14.4" customHeight="1">
      <c r="A9" s="69" t="s">
        <v>7</v>
      </c>
      <c r="B9" s="82" t="s">
        <v>20</v>
      </c>
      <c r="C9" s="82"/>
      <c r="D9" s="82"/>
      <c r="E9" s="82"/>
      <c r="F9" s="82"/>
      <c r="G9" s="83"/>
    </row>
    <row r="10" spans="1:7">
      <c r="A10" s="69" t="s">
        <v>97</v>
      </c>
      <c r="B10" s="82" t="s">
        <v>21</v>
      </c>
      <c r="C10" s="82"/>
      <c r="D10" s="82"/>
      <c r="E10" s="82"/>
      <c r="F10" s="82"/>
      <c r="G10" s="83"/>
    </row>
    <row r="11" spans="1:7">
      <c r="A11" s="76" t="s">
        <v>8</v>
      </c>
      <c r="B11" s="76" t="s">
        <v>98</v>
      </c>
      <c r="C11" s="76" t="s">
        <v>99</v>
      </c>
      <c r="D11" s="76" t="s">
        <v>100</v>
      </c>
      <c r="E11" s="76" t="s">
        <v>101</v>
      </c>
      <c r="F11" s="76"/>
      <c r="G11" s="76" t="s">
        <v>102</v>
      </c>
    </row>
  </sheetData>
  <mergeCells count="10">
    <mergeCell ref="B8:G8"/>
    <mergeCell ref="B9:G9"/>
    <mergeCell ref="B10:G10"/>
    <mergeCell ref="A1:G1"/>
    <mergeCell ref="B2:G2"/>
    <mergeCell ref="B3:G3"/>
    <mergeCell ref="B4:G4"/>
    <mergeCell ref="B5:G5"/>
    <mergeCell ref="B6:G6"/>
    <mergeCell ref="B7:G7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A1:P14"/>
  <sheetViews>
    <sheetView workbookViewId="0">
      <pane ySplit="1" topLeftCell="A2" activePane="bottomLeft" state="frozen"/>
      <selection pane="bottomLeft" activeCell="A15" sqref="A15"/>
    </sheetView>
  </sheetViews>
  <sheetFormatPr defaultRowHeight="14.4"/>
  <cols>
    <col min="1" max="1" width="8.88671875" style="10"/>
    <col min="2" max="2" width="42.5546875" style="11" customWidth="1" collapsed="1"/>
    <col min="3" max="3" width="9.44140625" style="10" customWidth="1"/>
    <col min="4" max="4" width="7.6640625" style="10" customWidth="1" collapsed="1"/>
    <col min="5" max="7" width="8.88671875" style="10"/>
    <col min="8" max="8" width="4" style="8" hidden="1" customWidth="1"/>
    <col min="9" max="9" width="4.109375" style="8" hidden="1" customWidth="1"/>
    <col min="10" max="11" width="4.5546875" style="8" hidden="1" customWidth="1"/>
    <col min="12" max="12" width="4.109375" style="8" hidden="1" customWidth="1"/>
    <col min="13" max="13" width="4.77734375" style="8" hidden="1" customWidth="1"/>
    <col min="14" max="16" width="10" style="2" customWidth="1"/>
  </cols>
  <sheetData>
    <row r="1" spans="1:14" ht="27.6" customHeight="1">
      <c r="A1" s="13" t="s">
        <v>53</v>
      </c>
      <c r="B1" s="14"/>
      <c r="C1" s="14"/>
      <c r="D1" s="14"/>
      <c r="E1" s="14"/>
      <c r="F1" s="14"/>
      <c r="G1" s="15"/>
    </row>
    <row r="2" spans="1:14" ht="17.399999999999999">
      <c r="A2" s="16" t="s">
        <v>22</v>
      </c>
      <c r="B2" s="17"/>
      <c r="C2" s="17"/>
      <c r="D2" s="17"/>
      <c r="E2" s="17"/>
      <c r="F2" s="17"/>
      <c r="G2" s="18"/>
    </row>
    <row r="3" spans="1:14" ht="14.4" customHeight="1">
      <c r="A3" s="12" t="s">
        <v>0</v>
      </c>
      <c r="B3" s="19"/>
      <c r="C3" s="91" t="s">
        <v>13</v>
      </c>
      <c r="D3" s="91"/>
      <c r="E3" s="91"/>
      <c r="F3" s="91"/>
      <c r="G3" s="92"/>
      <c r="N3"/>
    </row>
    <row r="4" spans="1:14" ht="14.4" customHeight="1">
      <c r="A4" s="12" t="s">
        <v>1</v>
      </c>
      <c r="B4" s="19"/>
      <c r="C4" s="91" t="s">
        <v>14</v>
      </c>
      <c r="D4" s="91"/>
      <c r="E4" s="91"/>
      <c r="F4" s="91"/>
      <c r="G4" s="92"/>
      <c r="N4"/>
    </row>
    <row r="5" spans="1:14" ht="14.4" customHeight="1">
      <c r="A5" s="12" t="s">
        <v>2</v>
      </c>
      <c r="B5" s="19"/>
      <c r="C5" s="91" t="s">
        <v>15</v>
      </c>
      <c r="D5" s="91"/>
      <c r="E5" s="91"/>
      <c r="F5" s="91"/>
      <c r="G5" s="92"/>
      <c r="N5"/>
    </row>
    <row r="6" spans="1:14" ht="14.4" customHeight="1">
      <c r="A6" s="12" t="s">
        <v>3</v>
      </c>
      <c r="B6" s="19"/>
      <c r="C6" s="91" t="s">
        <v>16</v>
      </c>
      <c r="D6" s="91"/>
      <c r="E6" s="91"/>
      <c r="F6" s="91"/>
      <c r="G6" s="92"/>
      <c r="N6"/>
    </row>
    <row r="7" spans="1:14" ht="14.4" customHeight="1">
      <c r="A7" s="12" t="s">
        <v>4</v>
      </c>
      <c r="B7" s="19"/>
      <c r="C7" s="91" t="s">
        <v>17</v>
      </c>
      <c r="D7" s="91"/>
      <c r="E7" s="91"/>
      <c r="F7" s="91"/>
      <c r="G7" s="92"/>
      <c r="N7"/>
    </row>
    <row r="8" spans="1:14" ht="14.4" customHeight="1">
      <c r="A8" s="12" t="s">
        <v>5</v>
      </c>
      <c r="B8" s="19"/>
      <c r="C8" s="91" t="s">
        <v>18</v>
      </c>
      <c r="D8" s="91"/>
      <c r="E8" s="91"/>
      <c r="F8" s="91"/>
      <c r="G8" s="92"/>
      <c r="N8"/>
    </row>
    <row r="9" spans="1:14" ht="14.4" customHeight="1">
      <c r="A9" s="12" t="s">
        <v>6</v>
      </c>
      <c r="B9" s="19"/>
      <c r="C9" s="91" t="s">
        <v>19</v>
      </c>
      <c r="D9" s="91"/>
      <c r="E9" s="91"/>
      <c r="F9" s="91"/>
      <c r="G9" s="92"/>
      <c r="N9"/>
    </row>
    <row r="10" spans="1:14" ht="14.4" customHeight="1">
      <c r="A10" s="12" t="s">
        <v>7</v>
      </c>
      <c r="B10" s="19"/>
      <c r="C10" s="91" t="s">
        <v>20</v>
      </c>
      <c r="D10" s="91"/>
      <c r="E10" s="91"/>
      <c r="F10" s="91"/>
      <c r="G10" s="92"/>
      <c r="N10"/>
    </row>
    <row r="11" spans="1:14" s="2" customFormat="1" ht="14.4" customHeight="1">
      <c r="A11" s="12" t="s">
        <v>42</v>
      </c>
      <c r="B11" s="19"/>
      <c r="C11" s="33" t="s">
        <v>44</v>
      </c>
      <c r="D11" s="33"/>
      <c r="E11" s="33"/>
      <c r="F11" s="33"/>
      <c r="G11" s="34"/>
      <c r="H11" s="8"/>
      <c r="I11" s="8"/>
      <c r="J11" s="8"/>
      <c r="K11" s="8"/>
      <c r="L11" s="8"/>
      <c r="M11" s="8"/>
      <c r="N11"/>
    </row>
    <row r="12" spans="1:14" s="2" customFormat="1" ht="14.4" customHeight="1">
      <c r="A12" s="12" t="s">
        <v>43</v>
      </c>
      <c r="B12" s="19"/>
      <c r="C12" s="93" t="s">
        <v>45</v>
      </c>
      <c r="D12" s="93"/>
      <c r="E12" s="93"/>
      <c r="F12" s="93"/>
      <c r="G12" s="94"/>
      <c r="H12" s="8"/>
      <c r="I12" s="8"/>
      <c r="J12" s="8"/>
      <c r="K12" s="8"/>
      <c r="L12" s="8"/>
      <c r="M12" s="8"/>
      <c r="N12"/>
    </row>
    <row r="13" spans="1:14" ht="14.4" customHeight="1">
      <c r="A13" s="12" t="s">
        <v>57</v>
      </c>
      <c r="B13" s="19"/>
      <c r="C13" s="91" t="s">
        <v>21</v>
      </c>
      <c r="D13" s="91"/>
      <c r="E13" s="91"/>
      <c r="F13" s="91"/>
      <c r="G13" s="92"/>
      <c r="J13" s="8" t="s">
        <v>36</v>
      </c>
      <c r="K13" s="8" t="s">
        <v>37</v>
      </c>
      <c r="L13" s="9" t="s">
        <v>38</v>
      </c>
      <c r="M13" s="9" t="s">
        <v>39</v>
      </c>
      <c r="N13"/>
    </row>
    <row r="14" spans="1:14" ht="14.4" customHeight="1">
      <c r="A14" s="23" t="s">
        <v>10</v>
      </c>
      <c r="B14" s="23" t="s">
        <v>8</v>
      </c>
      <c r="C14" s="23" t="s">
        <v>11</v>
      </c>
      <c r="D14" s="23" t="s">
        <v>12</v>
      </c>
      <c r="E14" s="23" t="s">
        <v>30</v>
      </c>
      <c r="F14" s="23" t="s">
        <v>31</v>
      </c>
      <c r="G14" s="23" t="s">
        <v>9</v>
      </c>
      <c r="H14" s="9" t="s">
        <v>29</v>
      </c>
      <c r="N14"/>
    </row>
  </sheetData>
  <mergeCells count="10">
    <mergeCell ref="C3:G3"/>
    <mergeCell ref="C9:G9"/>
    <mergeCell ref="C10:G10"/>
    <mergeCell ref="C12:G12"/>
    <mergeCell ref="C13:G13"/>
    <mergeCell ref="C4:G4"/>
    <mergeCell ref="C5:G5"/>
    <mergeCell ref="C6:G6"/>
    <mergeCell ref="C7:G7"/>
    <mergeCell ref="C8:G8"/>
  </mergeCell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F11"/>
  <sheetViews>
    <sheetView workbookViewId="0">
      <selection activeCell="F11" sqref="F11"/>
    </sheetView>
  </sheetViews>
  <sheetFormatPr defaultRowHeight="14.4"/>
  <cols>
    <col min="2" max="2" width="34" customWidth="1"/>
    <col min="3" max="3" width="15.77734375" customWidth="1"/>
    <col min="6" max="6" width="19" customWidth="1"/>
  </cols>
  <sheetData>
    <row r="1" spans="1:6" ht="27.6">
      <c r="A1" s="13" t="s">
        <v>46</v>
      </c>
      <c r="B1" s="14"/>
      <c r="C1" s="14"/>
      <c r="D1" s="14"/>
      <c r="E1" s="14"/>
      <c r="F1" s="15"/>
    </row>
    <row r="2" spans="1:6" s="2" customFormat="1">
      <c r="A2" s="95" t="s">
        <v>0</v>
      </c>
      <c r="B2" s="96"/>
      <c r="C2" s="97" t="s">
        <v>13</v>
      </c>
      <c r="D2" s="82"/>
      <c r="E2" s="82"/>
      <c r="F2" s="83"/>
    </row>
    <row r="3" spans="1:6" ht="14.4" customHeight="1">
      <c r="A3" s="95" t="s">
        <v>1</v>
      </c>
      <c r="B3" s="96"/>
      <c r="C3" s="97" t="s">
        <v>14</v>
      </c>
      <c r="D3" s="82"/>
      <c r="E3" s="82"/>
      <c r="F3" s="83"/>
    </row>
    <row r="4" spans="1:6" ht="14.4" customHeight="1">
      <c r="A4" s="95" t="s">
        <v>2</v>
      </c>
      <c r="B4" s="96"/>
      <c r="C4" s="97" t="s">
        <v>15</v>
      </c>
      <c r="D4" s="82"/>
      <c r="E4" s="82"/>
      <c r="F4" s="83"/>
    </row>
    <row r="5" spans="1:6" ht="14.4" customHeight="1">
      <c r="A5" s="95" t="s">
        <v>3</v>
      </c>
      <c r="B5" s="96"/>
      <c r="C5" s="97" t="s">
        <v>16</v>
      </c>
      <c r="D5" s="82"/>
      <c r="E5" s="82"/>
      <c r="F5" s="83"/>
    </row>
    <row r="6" spans="1:6" ht="14.4" customHeight="1">
      <c r="A6" s="95" t="s">
        <v>47</v>
      </c>
      <c r="B6" s="96"/>
      <c r="C6" s="97" t="s">
        <v>17</v>
      </c>
      <c r="D6" s="82"/>
      <c r="E6" s="82"/>
      <c r="F6" s="83"/>
    </row>
    <row r="7" spans="1:6" ht="14.4" customHeight="1">
      <c r="A7" s="95" t="s">
        <v>5</v>
      </c>
      <c r="B7" s="96"/>
      <c r="C7" s="97" t="s">
        <v>18</v>
      </c>
      <c r="D7" s="82"/>
      <c r="E7" s="82"/>
      <c r="F7" s="83"/>
    </row>
    <row r="8" spans="1:6" ht="14.4" customHeight="1">
      <c r="A8" s="95" t="s">
        <v>48</v>
      </c>
      <c r="B8" s="96"/>
      <c r="C8" s="97" t="s">
        <v>19</v>
      </c>
      <c r="D8" s="82"/>
      <c r="E8" s="82"/>
      <c r="F8" s="83"/>
    </row>
    <row r="9" spans="1:6" ht="14.4" customHeight="1">
      <c r="A9" s="95" t="s">
        <v>49</v>
      </c>
      <c r="B9" s="96"/>
      <c r="C9" s="97" t="s">
        <v>20</v>
      </c>
      <c r="D9" s="82"/>
      <c r="E9" s="82"/>
      <c r="F9" s="83"/>
    </row>
    <row r="10" spans="1:6" ht="14.4" customHeight="1">
      <c r="A10" s="95" t="s">
        <v>57</v>
      </c>
      <c r="B10" s="96"/>
      <c r="C10" s="97" t="s">
        <v>21</v>
      </c>
      <c r="D10" s="82"/>
      <c r="E10" s="82"/>
      <c r="F10" s="83"/>
    </row>
    <row r="11" spans="1:6" ht="27" customHeight="1">
      <c r="A11" s="23" t="s">
        <v>10</v>
      </c>
      <c r="B11" s="23" t="s">
        <v>8</v>
      </c>
      <c r="C11" s="23" t="s">
        <v>50</v>
      </c>
      <c r="D11" s="23" t="s">
        <v>12</v>
      </c>
      <c r="E11" s="23" t="s">
        <v>51</v>
      </c>
      <c r="F11" s="23" t="s">
        <v>52</v>
      </c>
    </row>
  </sheetData>
  <mergeCells count="18">
    <mergeCell ref="C6:F6"/>
    <mergeCell ref="C7:F7"/>
    <mergeCell ref="C8:F8"/>
    <mergeCell ref="C9:F9"/>
    <mergeCell ref="C10:F10"/>
    <mergeCell ref="A9:B9"/>
    <mergeCell ref="A10:B10"/>
    <mergeCell ref="A6:B6"/>
    <mergeCell ref="A7:B7"/>
    <mergeCell ref="A8:B8"/>
    <mergeCell ref="A2:B2"/>
    <mergeCell ref="C2:F2"/>
    <mergeCell ref="A3:B3"/>
    <mergeCell ref="A4:B4"/>
    <mergeCell ref="A5:B5"/>
    <mergeCell ref="C3:F3"/>
    <mergeCell ref="C4:F4"/>
    <mergeCell ref="C5:F5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J18"/>
  <sheetViews>
    <sheetView workbookViewId="0">
      <selection activeCell="I12" sqref="I12"/>
    </sheetView>
  </sheetViews>
  <sheetFormatPr defaultRowHeight="14.4"/>
  <cols>
    <col min="2" max="2" width="40.5546875" customWidth="1"/>
    <col min="3" max="3" width="12.44140625" customWidth="1"/>
    <col min="5" max="5" width="8.88671875" style="2"/>
    <col min="6" max="6" width="9.44140625" customWidth="1"/>
    <col min="7" max="8" width="9.44140625" style="2" customWidth="1"/>
    <col min="9" max="9" width="11" customWidth="1"/>
  </cols>
  <sheetData>
    <row r="1" spans="1:10" ht="27.6">
      <c r="A1" s="13" t="s">
        <v>46</v>
      </c>
      <c r="B1" s="14"/>
      <c r="C1" s="14"/>
      <c r="D1" s="14"/>
      <c r="E1" s="14"/>
      <c r="F1" s="14"/>
      <c r="G1" s="14"/>
      <c r="H1" s="14"/>
      <c r="I1" s="15"/>
    </row>
    <row r="2" spans="1:10" ht="14.4" customHeight="1">
      <c r="A2" s="98" t="s">
        <v>0</v>
      </c>
      <c r="B2" s="99"/>
      <c r="C2" s="97" t="s">
        <v>13</v>
      </c>
      <c r="D2" s="82"/>
      <c r="E2" s="82"/>
      <c r="F2" s="82"/>
      <c r="G2" s="82"/>
      <c r="H2" s="82"/>
      <c r="I2" s="83"/>
      <c r="J2" s="2"/>
    </row>
    <row r="3" spans="1:10" ht="14.4" customHeight="1">
      <c r="A3" s="98" t="s">
        <v>1</v>
      </c>
      <c r="B3" s="99"/>
      <c r="C3" s="97" t="s">
        <v>14</v>
      </c>
      <c r="D3" s="82"/>
      <c r="E3" s="82"/>
      <c r="F3" s="82"/>
      <c r="G3" s="82"/>
      <c r="H3" s="82"/>
      <c r="I3" s="83"/>
    </row>
    <row r="4" spans="1:10" ht="14.4" customHeight="1">
      <c r="A4" s="98" t="s">
        <v>2</v>
      </c>
      <c r="B4" s="99"/>
      <c r="C4" s="97" t="s">
        <v>15</v>
      </c>
      <c r="D4" s="82"/>
      <c r="E4" s="82"/>
      <c r="F4" s="82"/>
      <c r="G4" s="82"/>
      <c r="H4" s="82"/>
      <c r="I4" s="83"/>
    </row>
    <row r="5" spans="1:10" ht="14.4" customHeight="1">
      <c r="A5" s="98" t="s">
        <v>3</v>
      </c>
      <c r="B5" s="99"/>
      <c r="C5" s="97" t="s">
        <v>16</v>
      </c>
      <c r="D5" s="82"/>
      <c r="E5" s="82"/>
      <c r="F5" s="82"/>
      <c r="G5" s="82"/>
      <c r="H5" s="82"/>
      <c r="I5" s="83"/>
    </row>
    <row r="6" spans="1:10" ht="14.4" customHeight="1">
      <c r="A6" s="98" t="s">
        <v>47</v>
      </c>
      <c r="B6" s="99"/>
      <c r="C6" s="97" t="s">
        <v>17</v>
      </c>
      <c r="D6" s="82"/>
      <c r="E6" s="82"/>
      <c r="F6" s="82"/>
      <c r="G6" s="82"/>
      <c r="H6" s="82"/>
      <c r="I6" s="83"/>
    </row>
    <row r="7" spans="1:10" ht="14.4" customHeight="1">
      <c r="A7" s="98" t="s">
        <v>5</v>
      </c>
      <c r="B7" s="99"/>
      <c r="C7" s="97" t="s">
        <v>18</v>
      </c>
      <c r="D7" s="82"/>
      <c r="E7" s="82"/>
      <c r="F7" s="82"/>
      <c r="G7" s="82"/>
      <c r="H7" s="82"/>
      <c r="I7" s="83"/>
    </row>
    <row r="8" spans="1:10" ht="14.4" customHeight="1">
      <c r="A8" s="98" t="s">
        <v>48</v>
      </c>
      <c r="B8" s="99"/>
      <c r="C8" s="97" t="s">
        <v>19</v>
      </c>
      <c r="D8" s="82"/>
      <c r="E8" s="82"/>
      <c r="F8" s="82"/>
      <c r="G8" s="82"/>
      <c r="H8" s="82"/>
      <c r="I8" s="83"/>
    </row>
    <row r="9" spans="1:10" ht="14.4" customHeight="1">
      <c r="A9" s="98" t="s">
        <v>49</v>
      </c>
      <c r="B9" s="99"/>
      <c r="C9" s="97" t="s">
        <v>20</v>
      </c>
      <c r="D9" s="82"/>
      <c r="E9" s="82"/>
      <c r="F9" s="82"/>
      <c r="G9" s="82"/>
      <c r="H9" s="82"/>
      <c r="I9" s="83"/>
    </row>
    <row r="10" spans="1:10" s="2" customFormat="1">
      <c r="A10" s="100" t="s">
        <v>58</v>
      </c>
      <c r="B10" s="101"/>
      <c r="C10" s="102" t="s">
        <v>21</v>
      </c>
      <c r="D10" s="103"/>
      <c r="E10" s="82"/>
      <c r="F10" s="82"/>
      <c r="G10" s="103"/>
      <c r="H10" s="103"/>
      <c r="I10" s="104"/>
      <c r="J10"/>
    </row>
    <row r="11" spans="1:10" ht="20.399999999999999">
      <c r="A11" s="55"/>
      <c r="B11" s="53"/>
      <c r="C11" s="53"/>
      <c r="D11" s="54"/>
      <c r="E11" s="57" t="s">
        <v>51</v>
      </c>
      <c r="F11" s="20"/>
      <c r="G11" s="21" t="s">
        <v>52</v>
      </c>
      <c r="H11" s="20"/>
      <c r="I11" s="22"/>
      <c r="J11" s="2"/>
    </row>
    <row r="12" spans="1:10" ht="30.6">
      <c r="A12" s="23" t="s">
        <v>10</v>
      </c>
      <c r="B12" s="23" t="s">
        <v>8</v>
      </c>
      <c r="C12" s="23" t="s">
        <v>50</v>
      </c>
      <c r="D12" s="23" t="s">
        <v>12</v>
      </c>
      <c r="E12" s="23" t="s">
        <v>23</v>
      </c>
      <c r="F12" s="23" t="s">
        <v>24</v>
      </c>
      <c r="G12" s="23" t="s">
        <v>54</v>
      </c>
      <c r="H12" s="23" t="s">
        <v>55</v>
      </c>
      <c r="I12" s="23" t="s">
        <v>56</v>
      </c>
    </row>
    <row r="18" spans="3:3">
      <c r="C18" s="2"/>
    </row>
  </sheetData>
  <mergeCells count="18">
    <mergeCell ref="A5:B5"/>
    <mergeCell ref="C5:I5"/>
    <mergeCell ref="A9:B9"/>
    <mergeCell ref="C9:I9"/>
    <mergeCell ref="A10:B10"/>
    <mergeCell ref="C10:I10"/>
    <mergeCell ref="A6:B6"/>
    <mergeCell ref="C6:I6"/>
    <mergeCell ref="A7:B7"/>
    <mergeCell ref="C7:I7"/>
    <mergeCell ref="A8:B8"/>
    <mergeCell ref="C8:I8"/>
    <mergeCell ref="A2:B2"/>
    <mergeCell ref="C2:I2"/>
    <mergeCell ref="A3:B3"/>
    <mergeCell ref="C3:I3"/>
    <mergeCell ref="A4:B4"/>
    <mergeCell ref="C4:I4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N13"/>
  <sheetViews>
    <sheetView workbookViewId="0">
      <selection activeCell="A13" sqref="A13"/>
    </sheetView>
  </sheetViews>
  <sheetFormatPr defaultRowHeight="14.4"/>
  <cols>
    <col min="1" max="1" width="4.77734375" style="2" customWidth="1"/>
    <col min="2" max="2" width="18.6640625" bestFit="1" customWidth="1"/>
    <col min="3" max="3" width="42.44140625" customWidth="1"/>
  </cols>
  <sheetData>
    <row r="1" spans="1:14" ht="17.399999999999999">
      <c r="B1" s="48" t="s">
        <v>80</v>
      </c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5"/>
    </row>
    <row r="2" spans="1:14">
      <c r="B2" s="26" t="s">
        <v>73</v>
      </c>
      <c r="C2" s="26"/>
      <c r="D2" s="26"/>
      <c r="E2" s="26"/>
      <c r="F2" s="26"/>
      <c r="G2" s="26"/>
      <c r="H2" s="26"/>
      <c r="I2" s="26"/>
      <c r="J2" s="26"/>
      <c r="K2" s="26"/>
      <c r="L2" s="26"/>
      <c r="M2" s="26"/>
      <c r="N2" s="27"/>
    </row>
    <row r="3" spans="1:14">
      <c r="B3" s="49" t="s">
        <v>59</v>
      </c>
      <c r="C3" s="105" t="s">
        <v>13</v>
      </c>
      <c r="D3" s="105"/>
      <c r="E3" s="105"/>
      <c r="F3" s="105"/>
      <c r="G3" s="105"/>
      <c r="H3" s="105"/>
      <c r="I3" s="105"/>
      <c r="J3" s="105"/>
      <c r="K3" s="105"/>
      <c r="L3" s="105"/>
      <c r="M3" s="105"/>
      <c r="N3" s="106"/>
    </row>
    <row r="4" spans="1:14">
      <c r="B4" s="50" t="s">
        <v>1</v>
      </c>
      <c r="C4" s="46" t="s">
        <v>14</v>
      </c>
      <c r="D4" s="1"/>
      <c r="E4" s="28"/>
      <c r="F4" s="28"/>
      <c r="G4" s="28"/>
      <c r="H4" s="1"/>
      <c r="I4" s="1"/>
      <c r="J4" s="2"/>
      <c r="K4" s="2"/>
      <c r="L4" s="37" t="s">
        <v>77</v>
      </c>
      <c r="M4" s="35"/>
      <c r="N4" s="40">
        <f>N26</f>
        <v>0</v>
      </c>
    </row>
    <row r="5" spans="1:14">
      <c r="B5" s="50" t="s">
        <v>2</v>
      </c>
      <c r="C5" s="46" t="s">
        <v>15</v>
      </c>
      <c r="D5" s="1"/>
      <c r="E5" s="29"/>
      <c r="F5" s="29"/>
      <c r="G5" s="29"/>
      <c r="H5" s="1"/>
      <c r="I5" s="1"/>
      <c r="J5" s="2"/>
      <c r="K5" s="2"/>
      <c r="L5" s="38" t="s">
        <v>78</v>
      </c>
      <c r="M5" s="36"/>
      <c r="N5" s="41">
        <f>O26</f>
        <v>0</v>
      </c>
    </row>
    <row r="6" spans="1:14">
      <c r="B6" s="50" t="s">
        <v>3</v>
      </c>
      <c r="C6" s="46" t="s">
        <v>16</v>
      </c>
      <c r="D6" s="1"/>
      <c r="E6" s="28"/>
      <c r="F6" s="28"/>
      <c r="G6" s="28"/>
      <c r="H6" s="1"/>
      <c r="I6" s="1"/>
      <c r="J6" s="2"/>
      <c r="K6" s="2"/>
      <c r="L6" s="43" t="s">
        <v>60</v>
      </c>
      <c r="M6" s="36"/>
      <c r="N6" s="44">
        <f>P26</f>
        <v>0</v>
      </c>
    </row>
    <row r="7" spans="1:14">
      <c r="B7" s="50" t="s">
        <v>74</v>
      </c>
      <c r="C7" s="46" t="s">
        <v>76</v>
      </c>
      <c r="D7" s="1"/>
      <c r="E7" s="28"/>
      <c r="F7" s="28"/>
      <c r="G7" s="28"/>
      <c r="H7" s="1"/>
      <c r="I7" s="1"/>
      <c r="J7" s="2"/>
      <c r="K7" s="2"/>
      <c r="L7" s="39" t="s">
        <v>61</v>
      </c>
      <c r="M7" s="45"/>
      <c r="N7" s="42">
        <f>I27</f>
        <v>0</v>
      </c>
    </row>
    <row r="8" spans="1:14">
      <c r="B8" s="50" t="s">
        <v>62</v>
      </c>
      <c r="C8" s="46" t="s">
        <v>20</v>
      </c>
      <c r="D8" s="1"/>
      <c r="E8" s="28"/>
      <c r="F8" s="28"/>
      <c r="G8" s="28"/>
      <c r="H8" s="28"/>
      <c r="I8" s="28"/>
      <c r="J8" s="28"/>
      <c r="K8" s="30"/>
      <c r="L8" s="30"/>
      <c r="M8" s="31"/>
      <c r="N8" s="32"/>
    </row>
    <row r="9" spans="1:14">
      <c r="B9" s="51" t="s">
        <v>75</v>
      </c>
      <c r="C9" s="47" t="s">
        <v>44</v>
      </c>
      <c r="D9" s="1"/>
      <c r="E9" s="28"/>
      <c r="F9" s="28"/>
      <c r="G9" s="28"/>
      <c r="H9" s="28"/>
      <c r="I9" s="28"/>
      <c r="J9" s="28"/>
      <c r="K9" s="30"/>
      <c r="L9" s="30"/>
      <c r="M9" s="31"/>
      <c r="N9" s="32"/>
    </row>
    <row r="10" spans="1:14">
      <c r="B10" s="50" t="s">
        <v>63</v>
      </c>
      <c r="C10" s="47" t="s">
        <v>45</v>
      </c>
      <c r="D10" s="1"/>
      <c r="E10" s="28"/>
      <c r="F10" s="28"/>
      <c r="G10" s="28"/>
      <c r="H10" s="28"/>
      <c r="I10" s="28"/>
      <c r="J10" s="28"/>
      <c r="K10" s="30"/>
      <c r="L10" s="30"/>
      <c r="M10" s="31"/>
      <c r="N10" s="32"/>
    </row>
    <row r="11" spans="1:14" ht="14.4" customHeight="1">
      <c r="A11" s="56"/>
      <c r="B11" s="52"/>
      <c r="C11" s="52"/>
      <c r="D11" s="45"/>
      <c r="E11" s="107" t="s">
        <v>11</v>
      </c>
      <c r="F11" s="108"/>
      <c r="G11" s="109"/>
      <c r="H11" s="110" t="s">
        <v>65</v>
      </c>
      <c r="I11" s="111"/>
      <c r="J11" s="112"/>
      <c r="K11" s="56"/>
      <c r="L11" s="52"/>
      <c r="M11" s="52"/>
      <c r="N11" s="45"/>
    </row>
    <row r="12" spans="1:14" ht="30.6">
      <c r="A12" s="23" t="s">
        <v>79</v>
      </c>
      <c r="B12" s="23" t="s">
        <v>10</v>
      </c>
      <c r="C12" s="23" t="s">
        <v>64</v>
      </c>
      <c r="D12" s="23" t="s">
        <v>12</v>
      </c>
      <c r="E12" s="23" t="s">
        <v>68</v>
      </c>
      <c r="F12" s="23" t="s">
        <v>69</v>
      </c>
      <c r="G12" s="23" t="s">
        <v>70</v>
      </c>
      <c r="H12" s="23" t="s">
        <v>51</v>
      </c>
      <c r="I12" s="23" t="s">
        <v>71</v>
      </c>
      <c r="J12" s="23" t="s">
        <v>72</v>
      </c>
      <c r="K12" s="23" t="s">
        <v>61</v>
      </c>
      <c r="L12" s="23" t="s">
        <v>66</v>
      </c>
      <c r="M12" s="23" t="s">
        <v>67</v>
      </c>
      <c r="N12" s="23" t="s">
        <v>60</v>
      </c>
    </row>
    <row r="13" spans="1:14">
      <c r="C13" s="2"/>
      <c r="D13" s="2"/>
      <c r="E13" s="2"/>
      <c r="F13" s="2"/>
      <c r="G13" s="2"/>
    </row>
  </sheetData>
  <mergeCells count="3">
    <mergeCell ref="C3:N3"/>
    <mergeCell ref="E11:G11"/>
    <mergeCell ref="H11:J1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R13"/>
  <sheetViews>
    <sheetView tabSelected="1" workbookViewId="0">
      <selection activeCell="A14" sqref="A14"/>
    </sheetView>
  </sheetViews>
  <sheetFormatPr defaultRowHeight="14.4"/>
  <cols>
    <col min="1" max="1" width="43.6640625" customWidth="1"/>
    <col min="2" max="2" width="23.77734375" bestFit="1" customWidth="1"/>
    <col min="7" max="7" width="12.77734375" bestFit="1" customWidth="1"/>
  </cols>
  <sheetData>
    <row r="1" spans="1:18" s="64" customFormat="1" ht="15.45" customHeight="1">
      <c r="A1" s="63" t="str">
        <f t="shared" ref="A1" si="0">IFERROR(IF(MEASUREMENT_TITLES="","",MEASUREMENT_TITLES),"")</f>
        <v>Description of Items</v>
      </c>
      <c r="B1" s="63" t="str">
        <f>IF(MEASUREMENT!B11="","",MEASUREMENT!B11)</f>
        <v>Number</v>
      </c>
      <c r="C1" s="63" t="str">
        <f>IF(MEASUREMENT!C11="","",MEASUREMENT!C11)</f>
        <v>Length</v>
      </c>
      <c r="D1" s="63" t="str">
        <f>IF(MEASUREMENT!D11="","",MEASUREMENT!D11)</f>
        <v>Width</v>
      </c>
      <c r="E1" s="63" t="str">
        <f>IF(MEASUREMENT!E11="","",MEASUREMENT!E11)</f>
        <v>Height</v>
      </c>
      <c r="F1" s="63" t="str">
        <f>IF(MEASUREMENT!F11="","",MEASUREMENT!F11)</f>
        <v/>
      </c>
      <c r="G1" s="63" t="str">
        <f>IF(MEASUREMENT!G11="","",MEASUREMENT!G11)</f>
        <v>Total quantity</v>
      </c>
      <c r="H1" s="63" t="e">
        <f>IF(MEASUREMENT!#REF!="","",MEASUREMENT!#REF!)</f>
        <v>#REF!</v>
      </c>
      <c r="I1" s="63" t="e">
        <f>IF(MEASUREMENT!#REF!="","",MEASUREMENT!#REF!)</f>
        <v>#REF!</v>
      </c>
      <c r="J1" s="63" t="e">
        <f>IF(MEASUREMENT!#REF!="","",MEASUREMENT!#REF!)</f>
        <v>#REF!</v>
      </c>
      <c r="K1" s="63" t="e">
        <f>IF(MEASUREMENT!#REF!="","",MEASUREMENT!#REF!)</f>
        <v>#REF!</v>
      </c>
      <c r="L1" s="63" t="e">
        <f>IF(MEASUREMENT!#REF!="","",MEASUREMENT!#REF!)</f>
        <v>#REF!</v>
      </c>
      <c r="M1" s="63" t="str">
        <f>IF(MEASUREMENT!H11="","",MEASUREMENT!H11)</f>
        <v/>
      </c>
      <c r="N1" s="63" t="str">
        <f>IF(MEASUREMENT!I11="","",MEASUREMENT!I11)</f>
        <v/>
      </c>
      <c r="O1" s="63" t="str">
        <f>IF(MEASUREMENT!J11="","",MEASUREMENT!J11)</f>
        <v/>
      </c>
      <c r="P1" s="63" t="str">
        <f>IF(MEASUREMENT!K11="","",MEASUREMENT!K11)</f>
        <v/>
      </c>
      <c r="Q1" s="63" t="str">
        <f>IF(MEASUREMENT!L11="","",MEASUREMENT!L11)</f>
        <v/>
      </c>
      <c r="R1" s="63" t="str">
        <f>IF(MEASUREMENT!M11="","",MEASUREMENT!M11)</f>
        <v/>
      </c>
    </row>
    <row r="2" spans="1:18">
      <c r="A2" s="4" t="s">
        <v>26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</row>
    <row r="3" spans="1:18">
      <c r="A3" s="5" t="s">
        <v>35</v>
      </c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</row>
    <row r="4" spans="1:18" s="2" customFormat="1">
      <c r="A4" s="114" t="s">
        <v>27</v>
      </c>
      <c r="B4" s="114"/>
      <c r="C4" s="114"/>
      <c r="D4" s="114"/>
      <c r="E4" s="114"/>
      <c r="F4" s="114"/>
      <c r="G4" s="114"/>
      <c r="H4" s="114"/>
      <c r="I4" s="114"/>
      <c r="J4" s="114"/>
      <c r="K4" s="114"/>
      <c r="L4" s="114"/>
      <c r="M4" s="114"/>
      <c r="N4" s="114"/>
      <c r="O4" s="114"/>
      <c r="P4" s="114"/>
      <c r="Q4" s="114"/>
      <c r="R4" s="114"/>
    </row>
    <row r="5" spans="1:18" s="52" customFormat="1">
      <c r="A5" s="56"/>
      <c r="D5" s="77"/>
      <c r="E5" s="77"/>
      <c r="F5" s="77"/>
    </row>
    <row r="6" spans="1:18">
      <c r="A6" s="6" t="s">
        <v>108</v>
      </c>
      <c r="B6" s="3" t="s">
        <v>25</v>
      </c>
      <c r="C6" s="1"/>
      <c r="D6" s="1"/>
      <c r="E6" s="3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</row>
    <row r="7" spans="1:18">
      <c r="A7" s="7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</row>
    <row r="8" spans="1:18" s="2" customFormat="1">
      <c r="A8" s="78" t="s">
        <v>104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</row>
    <row r="9" spans="1:18" s="2" customFormat="1">
      <c r="A9" s="79" t="s">
        <v>32</v>
      </c>
      <c r="B9" s="79" t="s">
        <v>33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</row>
    <row r="10" spans="1:18">
      <c r="A10" s="2" t="s">
        <v>92</v>
      </c>
      <c r="B10" s="2" t="s">
        <v>94</v>
      </c>
    </row>
    <row r="11" spans="1:18">
      <c r="A11" s="2" t="s">
        <v>105</v>
      </c>
      <c r="B11" s="81" t="s">
        <v>35</v>
      </c>
    </row>
    <row r="12" spans="1:18" s="2" customFormat="1">
      <c r="A12" s="2" t="s">
        <v>107</v>
      </c>
      <c r="B12" s="81" t="s">
        <v>106</v>
      </c>
    </row>
    <row r="13" spans="1:18">
      <c r="A13" s="2" t="s">
        <v>40</v>
      </c>
      <c r="B13" s="80" t="s">
        <v>29</v>
      </c>
    </row>
  </sheetData>
  <mergeCells count="2">
    <mergeCell ref="B3:R3"/>
    <mergeCell ref="A4:R4"/>
  </mergeCells>
  <conditionalFormatting sqref="A1:R1">
    <cfRule type="cellIs" dxfId="0" priority="1" operator="equal">
      <formula>"metadata"</formula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H2"/>
  <sheetViews>
    <sheetView workbookViewId="0">
      <selection activeCell="A2" sqref="A2"/>
    </sheetView>
  </sheetViews>
  <sheetFormatPr defaultRowHeight="14.4"/>
  <cols>
    <col min="1" max="1" width="15.88671875" customWidth="1"/>
    <col min="2" max="2" width="50" style="61" customWidth="1"/>
    <col min="3" max="3" width="9.77734375" bestFit="1" customWidth="1"/>
    <col min="4" max="4" width="5.21875" bestFit="1" customWidth="1"/>
    <col min="5" max="5" width="13.88671875" bestFit="1" customWidth="1"/>
    <col min="6" max="6" width="10.33203125" bestFit="1" customWidth="1"/>
    <col min="7" max="7" width="10.77734375" bestFit="1" customWidth="1"/>
    <col min="8" max="8" width="10" customWidth="1"/>
  </cols>
  <sheetData>
    <row r="1" spans="1:8" ht="15" thickBot="1">
      <c r="A1" s="58" t="s">
        <v>81</v>
      </c>
      <c r="B1" s="60" t="s">
        <v>82</v>
      </c>
      <c r="C1" s="58" t="s">
        <v>83</v>
      </c>
      <c r="D1" s="58" t="s">
        <v>84</v>
      </c>
      <c r="E1" s="58" t="s">
        <v>85</v>
      </c>
      <c r="F1" s="58" t="s">
        <v>86</v>
      </c>
      <c r="G1" s="58" t="s">
        <v>87</v>
      </c>
      <c r="H1" s="59" t="s">
        <v>88</v>
      </c>
    </row>
    <row r="2" spans="1:8" ht="15" thickTop="1"/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I2"/>
  <sheetViews>
    <sheetView workbookViewId="0">
      <selection activeCell="A2" sqref="A2"/>
    </sheetView>
  </sheetViews>
  <sheetFormatPr defaultRowHeight="14.4"/>
  <cols>
    <col min="1" max="1" width="14.109375" bestFit="1" customWidth="1"/>
    <col min="2" max="2" width="50" style="61" customWidth="1"/>
    <col min="3" max="3" width="9.77734375" bestFit="1" customWidth="1"/>
    <col min="4" max="4" width="5.21875" bestFit="1" customWidth="1"/>
    <col min="5" max="5" width="13.88671875" bestFit="1" customWidth="1"/>
    <col min="6" max="6" width="9.6640625" style="2" bestFit="1" customWidth="1"/>
    <col min="7" max="7" width="10.33203125" bestFit="1" customWidth="1"/>
    <col min="8" max="8" width="10.77734375" bestFit="1" customWidth="1"/>
    <col min="9" max="9" width="10" customWidth="1"/>
  </cols>
  <sheetData>
    <row r="1" spans="1:9" s="75" customFormat="1" ht="19.8" customHeight="1" thickBot="1">
      <c r="A1" s="72" t="s">
        <v>81</v>
      </c>
      <c r="B1" s="73" t="s">
        <v>82</v>
      </c>
      <c r="C1" s="72" t="s">
        <v>83</v>
      </c>
      <c r="D1" s="72" t="s">
        <v>84</v>
      </c>
      <c r="E1" s="72" t="s">
        <v>85</v>
      </c>
      <c r="F1" s="72" t="s">
        <v>103</v>
      </c>
      <c r="G1" s="72" t="s">
        <v>86</v>
      </c>
      <c r="H1" s="72" t="s">
        <v>87</v>
      </c>
      <c r="I1" s="74" t="s">
        <v>88</v>
      </c>
    </row>
    <row r="2" spans="1:9" ht="15" thickTop="1"/>
  </sheetData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/>
  <dimension ref="A1:B7"/>
  <sheetViews>
    <sheetView workbookViewId="0">
      <selection activeCell="A8" sqref="A8"/>
    </sheetView>
  </sheetViews>
  <sheetFormatPr defaultRowHeight="14.4"/>
  <cols>
    <col min="1" max="1" width="27.5546875" bestFit="1" customWidth="1"/>
    <col min="2" max="2" width="42.33203125" bestFit="1" customWidth="1"/>
  </cols>
  <sheetData>
    <row r="1" spans="1:2">
      <c r="A1" s="2" t="s">
        <v>32</v>
      </c>
      <c r="B1" s="2" t="s">
        <v>33</v>
      </c>
    </row>
    <row r="2" spans="1:2">
      <c r="A2" s="2" t="s">
        <v>34</v>
      </c>
      <c r="B2" s="2"/>
    </row>
    <row r="3" spans="1:2">
      <c r="A3" s="1" t="s">
        <v>41</v>
      </c>
      <c r="B3" s="62" t="s">
        <v>95</v>
      </c>
    </row>
    <row r="4" spans="1:2">
      <c r="A4" s="1" t="s">
        <v>89</v>
      </c>
      <c r="B4" s="1"/>
    </row>
    <row r="5" spans="1:2">
      <c r="A5" s="1" t="s">
        <v>90</v>
      </c>
      <c r="B5" s="62" t="s">
        <v>96</v>
      </c>
    </row>
    <row r="6" spans="1:2">
      <c r="A6" s="1" t="s">
        <v>91</v>
      </c>
      <c r="B6" s="1"/>
    </row>
    <row r="7" spans="1:2">
      <c r="A7" s="1" t="s">
        <v>93</v>
      </c>
      <c r="B7" s="1">
        <v>0</v>
      </c>
    </row>
  </sheetData>
  <hyperlinks>
    <hyperlink ref="B5" r:id="rId1"/>
  </hyperlinks>
  <pageMargins left="0.7" right="0.7" top="0.75" bottom="0.75" header="0.3" footer="0.3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147</vt:i4>
      </vt:variant>
    </vt:vector>
  </HeadingPairs>
  <TitlesOfParts>
    <vt:vector size="156" baseType="lpstr">
      <vt:lpstr>MEASUREMENT</vt:lpstr>
      <vt:lpstr>ABSTRACT</vt:lpstr>
      <vt:lpstr>FNFB_SCHEDULE</vt:lpstr>
      <vt:lpstr>RB_SCHEDULE</vt:lpstr>
      <vt:lpstr>DEVIATION</vt:lpstr>
      <vt:lpstr>TEMPLATE</vt:lpstr>
      <vt:lpstr>ITEMS</vt:lpstr>
      <vt:lpstr>EXTRA_ITEMS</vt:lpstr>
      <vt:lpstr>CONFIG</vt:lpstr>
      <vt:lpstr>A_AGENCY</vt:lpstr>
      <vt:lpstr>A_AGGREEMENT_NUM</vt:lpstr>
      <vt:lpstr>A_ALL_METADATA_COLUMNS</vt:lpstr>
      <vt:lpstr>A_AMOUNT</vt:lpstr>
      <vt:lpstr>A_CLAUSE</vt:lpstr>
      <vt:lpstr>A_DESCRIPTION</vt:lpstr>
      <vt:lpstr>A_DOA</vt:lpstr>
      <vt:lpstr>A_DOC_A</vt:lpstr>
      <vt:lpstr>A_DOC_S</vt:lpstr>
      <vt:lpstr>A_DOS</vt:lpstr>
      <vt:lpstr>A_ESTIMATED_COST</vt:lpstr>
      <vt:lpstr>A_FULLRATE</vt:lpstr>
      <vt:lpstr>A_ITEM_NUM</vt:lpstr>
      <vt:lpstr>A_METADATA_ITEM_NUM</vt:lpstr>
      <vt:lpstr>A_METADATA_PAGE_NUM</vt:lpstr>
      <vt:lpstr>A_METADATA_PART_RATE_UPDATED</vt:lpstr>
      <vt:lpstr>A_METADATA_SUB_ITEM_NUM</vt:lpstr>
      <vt:lpstr>A_METADATA_TOTAL</vt:lpstr>
      <vt:lpstr>A_NAME_OF_WORK</vt:lpstr>
      <vt:lpstr>A_PARTRATE</vt:lpstr>
      <vt:lpstr>A_QUANTITY</vt:lpstr>
      <vt:lpstr>A_SNO_OF_BILL</vt:lpstr>
      <vt:lpstr>A_TENDER_COST</vt:lpstr>
      <vt:lpstr>A_UNIT</vt:lpstr>
      <vt:lpstr>ABSTRACT_ITEM_NUM</vt:lpstr>
      <vt:lpstr>ABSTRACT_PAGE_NUM</vt:lpstr>
      <vt:lpstr>ABSTRACT_PART_RATE_UPDATED</vt:lpstr>
      <vt:lpstr>ABSTRACT_SUB_ITEM_NUM</vt:lpstr>
      <vt:lpstr>ABSTRACT_TITLES</vt:lpstr>
      <vt:lpstr>DEV_AGENCY</vt:lpstr>
      <vt:lpstr>DEV_AGGREEMENT_NUM</vt:lpstr>
      <vt:lpstr>DEV_CLAUSE</vt:lpstr>
      <vt:lpstr>DEV_DESCRIPTION</vt:lpstr>
      <vt:lpstr>DEV_DEV_MINUS</vt:lpstr>
      <vt:lpstr>DEV_DEV_PERCENT</vt:lpstr>
      <vt:lpstr>DEV_DEV_PLUS</vt:lpstr>
      <vt:lpstr>DEV_DEV_QTY</vt:lpstr>
      <vt:lpstr>DEV_DOC_S</vt:lpstr>
      <vt:lpstr>DEV_DOS</vt:lpstr>
      <vt:lpstr>DEV_ESTIMATED_COST</vt:lpstr>
      <vt:lpstr>DEV_ITEM_NUM</vt:lpstr>
      <vt:lpstr>DEV_LESS_CA</vt:lpstr>
      <vt:lpstr>DEV_NAME_OF_WORK</vt:lpstr>
      <vt:lpstr>DEV_QTY_AP_AGMT</vt:lpstr>
      <vt:lpstr>DEV_QTY_EUD</vt:lpstr>
      <vt:lpstr>DEV_RATE</vt:lpstr>
      <vt:lpstr>DEV_RATE_PROPOSED</vt:lpstr>
      <vt:lpstr>DEV_SL_NO</vt:lpstr>
      <vt:lpstr>DEV_SNO_OF_BILL</vt:lpstr>
      <vt:lpstr>DEV_SUMARY_DEV_MINUS</vt:lpstr>
      <vt:lpstr>DEV_SUMARY_DEV_PERCENT</vt:lpstr>
      <vt:lpstr>DEV_SUMARY_DEV_PLUS</vt:lpstr>
      <vt:lpstr>DEV_SUMARY_TOTAL_DEV</vt:lpstr>
      <vt:lpstr>DEV_TENDER_COST</vt:lpstr>
      <vt:lpstr>DEV_TOTAL_DEV</vt:lpstr>
      <vt:lpstr>DEV_UNIT</vt:lpstr>
      <vt:lpstr>EXISTING_ITEMS_IN_DATABASE</vt:lpstr>
      <vt:lpstr>FNFB_SCHEDULE_AGENCY</vt:lpstr>
      <vt:lpstr>FNFB_SCHEDULE_AGGREEMENT_NUM</vt:lpstr>
      <vt:lpstr>FNFB_SCHEDULE_CLAUSE</vt:lpstr>
      <vt:lpstr>FNFB_SCHEDULE_DESC_OF_ITEMS</vt:lpstr>
      <vt:lpstr>FNFB_SCHEDULE_DOA</vt:lpstr>
      <vt:lpstr>FNFB_SCHEDULE_DOC_A</vt:lpstr>
      <vt:lpstr>FNFB_SCHEDULE_DOC_S</vt:lpstr>
      <vt:lpstr>FNFB_SCHEDULE_DOS</vt:lpstr>
      <vt:lpstr>FNFB_SCHEDULE_ITEM_NUM</vt:lpstr>
      <vt:lpstr>FNFB_SCHEDULE_NAME_OF_WORK</vt:lpstr>
      <vt:lpstr>FNFB_SCHEDULE_POTBOAM</vt:lpstr>
      <vt:lpstr>FNFB_SCHEDULE_QEUD</vt:lpstr>
      <vt:lpstr>FNFB_SCHEDULE_RATE</vt:lpstr>
      <vt:lpstr>FNFB_SCHEDULE_SNO_OF_BILL</vt:lpstr>
      <vt:lpstr>FNFB_SCHEDULE_TOTAL_AMOUNT</vt:lpstr>
      <vt:lpstr>FNFB_SCHEDULE_UNIT</vt:lpstr>
      <vt:lpstr>M_AGENCY</vt:lpstr>
      <vt:lpstr>M_AGGREEMENT_NUM</vt:lpstr>
      <vt:lpstr>M_ALL_METADATA_COLUMNS</vt:lpstr>
      <vt:lpstr>M_CLAUSE</vt:lpstr>
      <vt:lpstr>M_DESC_OF_ITEMS</vt:lpstr>
      <vt:lpstr>M_DOA</vt:lpstr>
      <vt:lpstr>M_DOC_A</vt:lpstr>
      <vt:lpstr>M_DOC_S</vt:lpstr>
      <vt:lpstr>M_DOS</vt:lpstr>
      <vt:lpstr>M_ITEM_DESC</vt:lpstr>
      <vt:lpstr>M_ITEM_NUM</vt:lpstr>
      <vt:lpstr>M_ITEM_NUM_METADATA</vt:lpstr>
      <vt:lpstr>M_NAME_OF_WORK</vt:lpstr>
      <vt:lpstr>M_SNO_OF_BILL</vt:lpstr>
      <vt:lpstr>M_TOTAL_QTY</vt:lpstr>
      <vt:lpstr>MEASUREMENT_ABSTRACT_REF</vt:lpstr>
      <vt:lpstr>MEASUREMENT_METADATA</vt:lpstr>
      <vt:lpstr>MEASUREMENT_PAGE_NUMBER</vt:lpstr>
      <vt:lpstr>MEASUREMENT_SUB_ITEM</vt:lpstr>
      <vt:lpstr>MEASUREMENT_TITLES</vt:lpstr>
      <vt:lpstr>RB_SCHEDULE_AGENCY</vt:lpstr>
      <vt:lpstr>RB_SCHEDULE_AGGREEMENT_NUM</vt:lpstr>
      <vt:lpstr>RB_SCHEDULE_CLAUSE</vt:lpstr>
      <vt:lpstr>RB_SCHEDULE_DESC_OF_ITEMS</vt:lpstr>
      <vt:lpstr>RB_SCHEDULE_DOA</vt:lpstr>
      <vt:lpstr>RB_SCHEDULE_DOC_A</vt:lpstr>
      <vt:lpstr>RB_SCHEDULE_DOC_S</vt:lpstr>
      <vt:lpstr>RB_SCHEDULE_DOS</vt:lpstr>
      <vt:lpstr>RB_SCHEDULE_FULL_RATE</vt:lpstr>
      <vt:lpstr>RB_SCHEDULE_ITEM_NUM</vt:lpstr>
      <vt:lpstr>RB_SCHEDULE_NAME_OF_WORK</vt:lpstr>
      <vt:lpstr>RB_SCHEDULE_PART_RATE</vt:lpstr>
      <vt:lpstr>RB_SCHEDULE_POTBOAM</vt:lpstr>
      <vt:lpstr>RB_SCHEDULE_QEUD</vt:lpstr>
      <vt:lpstr>RB_SCHEDULE_RATE</vt:lpstr>
      <vt:lpstr>RB_SCHEDULE_SNO_OF_BILL</vt:lpstr>
      <vt:lpstr>RB_SCHEDULE_SPB</vt:lpstr>
      <vt:lpstr>RB_SCHEDULE_TOTAL_AMOUNT</vt:lpstr>
      <vt:lpstr>RB_SCHEDULE_UNIT</vt:lpstr>
      <vt:lpstr>RB_SCHEDULE_UPB</vt:lpstr>
      <vt:lpstr>RB_SCHEDULE_UTD</vt:lpstr>
      <vt:lpstr>T_AGGREEMENT_EXTRA_ITEM_NUMBER_LABEL</vt:lpstr>
      <vt:lpstr>T_AGGREEMENT_ID</vt:lpstr>
      <vt:lpstr>T_AGGREEMENT_ITEM_NUMBER_LABEL</vt:lpstr>
      <vt:lpstr>T_AGGREEMENT_NUMBER</vt:lpstr>
      <vt:lpstr>T_DATE_OF_MEASUREMENT</vt:lpstr>
      <vt:lpstr>T_EXCELGATEWAY_URL</vt:lpstr>
      <vt:lpstr>T_EXTRA_ITEM_COUNTER</vt:lpstr>
      <vt:lpstr>T_EXTRA_ITEM_SUFFIX</vt:lpstr>
      <vt:lpstr>T_MEASUREMENT_SHEET_ID</vt:lpstr>
      <vt:lpstr>T_MEASUREMENT_TITLES</vt:lpstr>
      <vt:lpstr>T_METADATA_FORMAT</vt:lpstr>
      <vt:lpstr>T_PAGE_NUMBER</vt:lpstr>
      <vt:lpstr>T_TOTAL</vt:lpstr>
      <vt:lpstr>T_URL</vt:lpstr>
      <vt:lpstr>TABLE_EXTRA_ITEMS</vt:lpstr>
      <vt:lpstr>TABLE_EXTRA_ITEMS_DESC</vt:lpstr>
      <vt:lpstr>TABLE_EXTRA_ITEMS_DSR_CODE</vt:lpstr>
      <vt:lpstr>TABLE_EXTRA_ITEMS_DSR_RATE</vt:lpstr>
      <vt:lpstr>TABLE_EXTRA_ITEMS_FULL_RATE</vt:lpstr>
      <vt:lpstr>TABLE_EXTRA_ITEMS_ITEM_NUM</vt:lpstr>
      <vt:lpstr>TABLE_EXTRA_ITEMS_PART_RATE</vt:lpstr>
      <vt:lpstr>TABLE_EXTRA_ITEMS_QTY</vt:lpstr>
      <vt:lpstr>TABLE_EXTRA_ITEMS_QTY_PER_UNIT</vt:lpstr>
      <vt:lpstr>TABLE_EXTRA_ITEMS_UNIT</vt:lpstr>
      <vt:lpstr>TABLE_ITEMS</vt:lpstr>
      <vt:lpstr>TABLE_ITEMS_DESC</vt:lpstr>
      <vt:lpstr>TABLE_ITEMS_DSR_CODE</vt:lpstr>
      <vt:lpstr>TABLE_ITEMS_FULL_RATE</vt:lpstr>
      <vt:lpstr>TABLE_ITEMS_ITEM_NUM</vt:lpstr>
      <vt:lpstr>TABLE_ITEMS_PART_RATE</vt:lpstr>
      <vt:lpstr>TABLE_ITEMS_QTY</vt:lpstr>
      <vt:lpstr>TABLE_ITEMS_QTY_PER_UNIT</vt:lpstr>
      <vt:lpstr>TABLE_ITEMS_UNIT</vt:lpstr>
    </vt:vector>
  </TitlesOfParts>
  <Company>Capgemini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ssharm20</dc:creator>
  <cp:lastModifiedBy>ssharm20</cp:lastModifiedBy>
  <dcterms:created xsi:type="dcterms:W3CDTF">2015-10-20T06:12:26Z</dcterms:created>
  <dcterms:modified xsi:type="dcterms:W3CDTF">2017-03-22T17:53:02Z</dcterms:modified>
</cp:coreProperties>
</file>